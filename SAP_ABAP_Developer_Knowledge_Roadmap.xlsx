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ea9f952ae140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ab2ed6e26c84134"/>
    <x:sheet xmlns:r="http://schemas.openxmlformats.org/officeDocument/2006/relationships" name="Roadmap" sheetId="2" r:id="Ra3b0d8b365f1425a"/>
    <x:sheet xmlns:r="http://schemas.openxmlformats.org/officeDocument/2006/relationships" name="Topic Tracker" sheetId="3" r:id="Rc827fedf95e348e2"/>
    <x:sheet xmlns:r="http://schemas.openxmlformats.org/officeDocument/2006/relationships" name="Projects" sheetId="4" r:id="Rcafb138927154809"/>
    <x:sheet xmlns:r="http://schemas.openxmlformats.org/officeDocument/2006/relationships" name="Resources" sheetId="5" r:id="R7355b522cfae4a0d"/>
    <x:sheet xmlns:r="http://schemas.openxmlformats.org/officeDocument/2006/relationships" name="Review Log" sheetId="6" r:id="R6e8caf0ac6fc40e0"/>
    <x:sheet xmlns:r="http://schemas.openxmlformats.org/officeDocument/2006/relationships" name="Start Here" sheetId="7" r:id="Rdb941727702846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-mmm-yyyy"/>
    <x:numFmt numFmtId="201" formatCode="0.0%"/>
    <x:numFmt numFmtId="202" formatCode="0.0"/>
  </x:numFmts>
  <x:fonts count="10">
    <x:font>
      <x:sz val="11"/>
      <x:name val="Carlito"/>
    </x:font>
    <x:font>
      <x:b/>
      <x:sz val="15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sz val="11"/>
      <x:color rgb="FF1F2937"/>
      <x:name val="Carlito"/>
    </x:font>
    <x:font>
      <x:sz val="10"/>
      <x:color rgb="FF1F2937"/>
      <x:name val="Carlito"/>
    </x:font>
    <x:font>
      <x:b/>
      <x:sz val="11"/>
      <x:color rgb="FF1F2937"/>
      <x:name val="Carlito"/>
    </x:font>
    <x:font>
      <x:sz val="9"/>
      <x:color rgb="FF1F2937"/>
      <x:name val="Carlito"/>
    </x:font>
    <x:font>
      <x:b/>
      <x:sz val="14"/>
      <x:color rgb="FF17365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9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vertical="top" wrapText="1"/>
    </x:xf>
    <x:xf numFmtId="200" fontId="8" fillId="0" borderId="0" xfId="0" applyNumberFormat="1" applyFont="1" applyFill="1" applyBorder="1" applyAlignment="1">
      <x:alignment vertical="top" wrapText="1"/>
    </x:xf>
    <x:xf numFmtId="200" fontId="8" fillId="0" borderId="1" xfId="0" applyNumberFormat="1" applyFont="1" applyFill="1" applyBorder="1" applyAlignment="1">
      <x:alignment vertical="top" wrapText="1"/>
    </x:xf>
    <x:xf numFmtId="200" fontId="6" fillId="0" borderId="0" xfId="0" applyNumberFormat="1" applyFont="1" applyFill="1" applyBorder="1" applyAlignment="1">
      <x:alignment vertical="top" wrapText="1"/>
    </x:xf>
    <x:xf numFmtId="200" fontId="6" fillId="0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9" fillId="3" borderId="0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9" fillId="3" borderId="1" xfId="0" applyNumberFormat="1" applyFont="1" applyFill="1" applyBorder="1" applyAlignment="1">
      <x:alignment horizontal="center" vertical="center" wrapText="1"/>
    </x:xf>
    <x:xf numFmtId="201" fontId="9" fillId="3" borderId="0" xfId="0" applyNumberFormat="1" applyFont="1" applyFill="1" applyBorder="1" applyAlignment="1">
      <x:alignment horizontal="center" vertical="center" wrapText="1"/>
    </x:xf>
    <x:xf numFmtId="201" fontId="9" fillId="3" borderId="1" xfId="0" applyNumberFormat="1" applyFont="1" applyFill="1" applyBorder="1" applyAlignment="1">
      <x:alignment horizontal="center" vertical="center" wrapText="1"/>
    </x:xf>
    <x:xf numFmtId="202" fontId="9" fillId="3" borderId="0" xfId="0" applyNumberFormat="1" applyFont="1" applyFill="1" applyBorder="1" applyAlignment="1">
      <x:alignment horizontal="center" vertical="center" wrapText="1"/>
    </x:xf>
    <x:xf numFmtId="202" fontId="9" fillId="3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vertical="top" wrapText="1"/>
    </x:xf>
    <x:xf numFmtId="201" fontId="8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276221"/>
      </x:font>
      <x:fill>
        <x:patternFill patternType="solid">
          <x:bgColor rgb="FFD9EAD3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b/>
        <x:color rgb="FFC00000"/>
      </x:font>
    </x:dxf>
    <x:dxf>
      <x:font>
        <x:b/>
        <x:color rgb="FF276221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25bfc979c34d93" /><Relationship Type="http://schemas.openxmlformats.org/officeDocument/2006/relationships/theme" Target="/xl/theme/theme1.xml" Id="R553de3d0c3664a2f" /><Relationship Type="http://schemas.openxmlformats.org/officeDocument/2006/relationships/sharedStrings" Target="/xl/sharedStrings.xml" Id="Re9ad3fa95d5d4047" /><Relationship Type="http://schemas.openxmlformats.org/officeDocument/2006/relationships/worksheet" Target="/xl/worksheets/sheet1.xml" Id="R2ab2ed6e26c84134" /><Relationship Type="http://schemas.openxmlformats.org/officeDocument/2006/relationships/worksheet" Target="/xl/worksheets/sheet2.xml" Id="Ra3b0d8b365f1425a" /><Relationship Type="http://schemas.openxmlformats.org/officeDocument/2006/relationships/worksheet" Target="/xl/worksheets/sheet3.xml" Id="Rc827fedf95e348e2" /><Relationship Type="http://schemas.openxmlformats.org/officeDocument/2006/relationships/worksheet" Target="/xl/worksheets/sheet4.xml" Id="Rcafb138927154809" /><Relationship Type="http://schemas.openxmlformats.org/officeDocument/2006/relationships/worksheet" Target="/xl/worksheets/sheet5.xml" Id="R7355b522cfae4a0d" /><Relationship Type="http://schemas.openxmlformats.org/officeDocument/2006/relationships/worksheet" Target="/xl/worksheets/sheet6.xml" Id="R6e8caf0ac6fc40e0" /><Relationship Type="http://schemas.openxmlformats.org/officeDocument/2006/relationships/worksheet" Target="/xl/worksheets/sheet7.xml" Id="Rdb9417277028460d" /></Relationships>
</file>

<file path=xl/tables/table1.xml><?xml version="1.0" encoding="utf-8"?>
<x:table xmlns:x="http://schemas.openxmlformats.org/spreadsheetml/2006/main" id="1" name="RoadmapPhases" displayName="RoadmapPhases" ref="A4:F36" headerRowCount="1" totalsRowCount="0" totalsRowShown="0">
  <x:tableColumns count="6">
    <x:tableColumn id="1" name="Seq"/>
    <x:tableColumn id="2" name="Phase"/>
    <x:tableColumn id="3" name="Level"/>
    <x:tableColumn id="4" name="Outcome"/>
    <x:tableColumn id="5" name="Exit criteria / checkpoint"/>
    <x:tableColumn id="6" name="Suggested foc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picTrackerTable" displayName="TopicTrackerTable" ref="A4:L496" headerRowCount="1" totalsRowCount="0" totalsRowShown="0">
  <x:tableColumns count="12">
    <x:tableColumn id="1" name="Topic ID"/>
    <x:tableColumn id="2" name="Phase"/>
    <x:tableColumn id="3" name="Domain / Area"/>
    <x:tableColumn id="4" name="Topic"/>
    <x:tableColumn id="5" name="Self-check / expected evidence"/>
    <x:tableColumn id="6" name="Level"/>
    <x:tableColumn id="7" name="Priority"/>
    <x:tableColumn id="8" name="Status"/>
    <x:tableColumn id="9" name="Confidence (1–5)"/>
    <x:tableColumn id="10" name="Last Reviewed"/>
    <x:tableColumn id="11" name="Evidence / Notes"/>
    <x:tableColumn id="12" name="Suggested Re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jectLadderTable" displayName="ProjectLadderTable" ref="A4:G22" headerRowCount="1" totalsRowCount="0" totalsRowShown="0">
  <x:tableColumns count="7">
    <x:tableColumn id="1" name="Project ID"/>
    <x:tableColumn id="2" name="Exercise"/>
    <x:tableColumn id="3" name="Level"/>
    <x:tableColumn id="4" name="Concepts exercised"/>
    <x:tableColumn id="5" name="Deliverable / acceptance criteria"/>
    <x:tableColumn id="6" name="Status"/>
    <x:tableColumn id="7" name="Notes / evid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sourcesTable" displayName="ResourcesTable" ref="A4:F14" headerRowCount="1" totalsRowCount="0" totalsRowShown="0">
  <x:tableColumns count="6">
    <x:tableColumn id="1" name="Resource ID"/>
    <x:tableColumn id="2" name="Source"/>
    <x:tableColumn id="3" name="Title"/>
    <x:tableColumn id="4" name="What it covers"/>
    <x:tableColumn id="5" name="URL"/>
    <x:tableColumn id="6" name="Best used fo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viewLogTable" displayName="ReviewLogTable" ref="A4:F44" headerRowCount="1" totalsRowCount="0" totalsRowShown="0">
  <x:tableColumns count="6">
    <x:tableColumn id="1" name="Review Date"/>
    <x:tableColumn id="2" name="Topic IDs / Topics"/>
    <x:tableColumn id="3" name="Confidence Before (1–5)"/>
    <x:tableColumn id="4" name="Confidence After (1–5)"/>
    <x:tableColumn id="5" name="Mistake / key learning"/>
    <x:tableColumn id="6" name="Next Review 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a415f1781ff43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394e88c0f6440e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1cb645dbbb5462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d08117f59aa4a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94528a3ca9f4138" /></Relationships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38" hidden="0" customWidth="1"/>
    <x:col min="2" max="2" width="10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4" hidden="0" customWidth="1"/>
    <x:col min="8" max="8" width="22" hidden="0" customWidth="1"/>
  </x:cols>
  <x:sheetData>
    <x:row r="1" ht="32" customHeight="1">
      <x:c r="A1" s="5" t="str">
        <x:v>SAP ABAP Knowledge Review Dashboard</x:v>
      </x:c>
      <x:c r="B1" s="5"/>
      <x:c r="C1" s="5"/>
      <x:c r="D1" s="5"/>
      <x:c r="E1" s="5"/>
      <x:c r="F1" s="5"/>
      <x:c r="G1" s="5"/>
      <x:c r="H1" s="5"/>
    </x:row>
    <x:row r="2" ht="30" customHeight="1">
      <x:c r="A2" s="13" t="str">
        <x:v>Live summary of topic status. Change statuses in Topic Tracker to update the summary.</x:v>
      </x:c>
      <x:c r="B2" s="13"/>
      <x:c r="C2" s="13"/>
      <x:c r="D2" s="13"/>
      <x:c r="E2" s="13"/>
      <x:c r="F2" s="13"/>
      <x:c r="G2" s="13"/>
      <x:c r="H2" s="13"/>
    </x:row>
    <x:row r="4" ht="30" customHeight="1">
      <x:c r="A4" s="57" t="str">
        <x:v>TOTAL TOPICS</x:v>
      </x:c>
      <x:c r="B4" s="71" t="n">
        <x:f>COUNTA('Topic Tracker'!$A$5:$A$496)</x:f>
        <x:v>492</x:v>
      </x:c>
      <x:c r="C4" s="57" t="str">
        <x:v>CONFIDENT</x:v>
      </x:c>
      <x:c r="D4" s="71" t="n">
        <x:f>COUNTIF('Topic Tracker'!$H$5:$H$496,"Confident")</x:f>
        <x:v>0</x:v>
      </x:c>
      <x:c r="E4" s="57" t="str">
        <x:v>PRACTICED</x:v>
      </x:c>
      <x:c r="F4" s="71" t="n">
        <x:f>COUNTIF('Topic Tracker'!$H$5:$H$496,"Practiced")</x:f>
        <x:v>0</x:v>
      </x:c>
      <x:c r="G4" s="57" t="str">
        <x:v>NEEDS REVIEW</x:v>
      </x:c>
      <x:c r="H4" s="71" t="n">
        <x:f>COUNTIF('Topic Tracker'!$H$5:$H$496,"Needs Review")</x:f>
        <x:v>0</x:v>
      </x:c>
    </x:row>
    <x:row r="6" ht="30" customHeight="1">
      <x:c r="A6" s="57" t="str">
        <x:v>LEARNING</x:v>
      </x:c>
      <x:c r="B6" s="71" t="n">
        <x:f>COUNTIF('Topic Tracker'!$H$5:$H$496,"Learning")</x:f>
        <x:v>0</x:v>
      </x:c>
      <x:c r="C6" s="57" t="str">
        <x:v>NOT STARTED</x:v>
      </x:c>
      <x:c r="D6" s="71" t="n">
        <x:f>COUNTIF('Topic Tracker'!$H$5:$H$496,"Not Started")</x:f>
        <x:v>492</x:v>
      </x:c>
      <x:c r="E6" s="57" t="str">
        <x:v>PRACTICE COMPLETION</x:v>
      </x:c>
      <x:c r="F6" s="74" t="n">
        <x:f>IFERROR((COUNTIF('Topic Tracker'!$H$5:$H$496,"Practiced")+COUNTIF('Topic Tracker'!$H$5:$H$496,"Confident"))/COUNTA('Topic Tracker'!$A$5:$A$496),0)</x:f>
        <x:v>0</x:v>
      </x:c>
      <x:c r="G6" s="57" t="str">
        <x:v>AVG CONFIDENCE</x:v>
      </x:c>
      <x:c r="H6" s="76" t="n">
        <x:f>IFERROR(AVERAGE('Topic Tracker'!$I$5:$I$496),0)</x:f>
        <x:v>0</x:v>
      </x:c>
    </x:row>
    <x:row r="9">
      <x:c r="A9" s="80" t="str">
        <x:v>Status</x:v>
      </x:c>
      <x:c r="B9" s="80" t="str">
        <x:v>Topic Count</x:v>
      </x:c>
    </x:row>
    <x:row r="10">
      <x:c r="A10" s="85" t="str">
        <x:v>Confident</x:v>
      </x:c>
      <x:c r="B10" s="85" t="n">
        <x:f>COUNTIF('Topic Tracker'!$H$5:$H$496,A10)</x:f>
        <x:v>0</x:v>
      </x:c>
    </x:row>
    <x:row r="11">
      <x:c r="A11" s="85" t="str">
        <x:v>Practiced</x:v>
      </x:c>
      <x:c r="B11" s="85" t="n">
        <x:f>COUNTIF('Topic Tracker'!$H$5:$H$496,A11)</x:f>
        <x:v>0</x:v>
      </x:c>
    </x:row>
    <x:row r="12">
      <x:c r="A12" s="85" t="str">
        <x:v>Learning</x:v>
      </x:c>
      <x:c r="B12" s="85" t="n">
        <x:f>COUNTIF('Topic Tracker'!$H$5:$H$496,A12)</x:f>
        <x:v>0</x:v>
      </x:c>
    </x:row>
    <x:row r="13">
      <x:c r="A13" s="85" t="str">
        <x:v>Needs Review</x:v>
      </x:c>
      <x:c r="B13" s="85" t="n">
        <x:f>COUNTIF('Topic Tracker'!$H$5:$H$496,A13)</x:f>
        <x:v>0</x:v>
      </x:c>
    </x:row>
    <x:row r="14">
      <x:c r="A14" s="85" t="str">
        <x:v>Not Started</x:v>
      </x:c>
      <x:c r="B14" s="85" t="n">
        <x:f>COUNTIF('Topic Tracker'!$H$5:$H$496,A14)</x:f>
        <x:v>492</x:v>
      </x:c>
    </x:row>
    <x:row r="27" ht="34" customHeight="1">
      <x:c r="A27" s="57" t="str">
        <x:v>Phase</x:v>
      </x:c>
      <x:c r="B27" s="57" t="str">
        <x:v>Total</x:v>
      </x:c>
      <x:c r="C27" s="57" t="str">
        <x:v>Not Started</x:v>
      </x:c>
      <x:c r="D27" s="57" t="str">
        <x:v>Learning</x:v>
      </x:c>
      <x:c r="E27" s="57" t="str">
        <x:v>Practiced</x:v>
      </x:c>
      <x:c r="F27" s="57" t="str">
        <x:v>Confident</x:v>
      </x:c>
      <x:c r="G27" s="57" t="str">
        <x:v>Needs Review</x:v>
      </x:c>
      <x:c r="H27" s="57" t="str">
        <x:v>Practice Completion</x:v>
      </x:c>
    </x:row>
    <x:row r="28" ht="26" customHeight="1">
      <x:c r="A28" s="62" t="str">
        <x:v>00 | SAP &amp; Development Foundations</x:v>
      </x:c>
      <x:c r="B28" s="62" t="n">
        <x:f>COUNTIF('Topic Tracker'!$B$5:$B$496,$A28)</x:f>
        <x:v>13</x:v>
      </x:c>
      <x:c r="C28" s="62" t="n">
        <x:f>COUNTIFS('Topic Tracker'!$B$5:$B$496,$A28,'Topic Tracker'!$H$5:$H$496,"Not Started")</x:f>
        <x:v>13</x:v>
      </x:c>
      <x:c r="D28" s="62" t="n">
        <x:f>COUNTIFS('Topic Tracker'!$B$5:$B$496,$A28,'Topic Tracker'!$H$5:$H$496,"Learning")</x:f>
        <x:v>0</x:v>
      </x:c>
      <x:c r="E28" s="62" t="n">
        <x:f>COUNTIFS('Topic Tracker'!$B$5:$B$496,$A28,'Topic Tracker'!$H$5:$H$496,"Practiced")</x:f>
        <x:v>0</x:v>
      </x:c>
      <x:c r="F28" s="62" t="n">
        <x:f>COUNTIFS('Topic Tracker'!$B$5:$B$496,$A28,'Topic Tracker'!$H$5:$H$496,"Confident")</x:f>
        <x:v>0</x:v>
      </x:c>
      <x:c r="G28" s="62" t="n">
        <x:f>COUNTIFS('Topic Tracker'!$B$5:$B$496,$A28,'Topic Tracker'!$H$5:$H$496,"Needs Review")</x:f>
        <x:v>0</x:v>
      </x:c>
      <x:c r="H28" s="88" t="n">
        <x:f>IFERROR((E28+F28)/B28,0)</x:f>
        <x:v>0</x:v>
      </x:c>
    </x:row>
    <x:row r="29" ht="26" customHeight="1">
      <x:c r="A29" s="62" t="str">
        <x:v>01 | ABAP Language Fundamentals</x:v>
      </x:c>
      <x:c r="B29" s="62" t="n">
        <x:f>COUNTIF('Topic Tracker'!$B$5:$B$496,$A29)</x:f>
        <x:v>20</x:v>
      </x:c>
      <x:c r="C29" s="62" t="n">
        <x:f>COUNTIFS('Topic Tracker'!$B$5:$B$496,$A29,'Topic Tracker'!$H$5:$H$496,"Not Started")</x:f>
        <x:v>20</x:v>
      </x:c>
      <x:c r="D29" s="62" t="n">
        <x:f>COUNTIFS('Topic Tracker'!$B$5:$B$496,$A29,'Topic Tracker'!$H$5:$H$496,"Learning")</x:f>
        <x:v>0</x:v>
      </x:c>
      <x:c r="E29" s="62" t="n">
        <x:f>COUNTIFS('Topic Tracker'!$B$5:$B$496,$A29,'Topic Tracker'!$H$5:$H$496,"Practiced")</x:f>
        <x:v>0</x:v>
      </x:c>
      <x:c r="F29" s="62" t="n">
        <x:f>COUNTIFS('Topic Tracker'!$B$5:$B$496,$A29,'Topic Tracker'!$H$5:$H$496,"Confident")</x:f>
        <x:v>0</x:v>
      </x:c>
      <x:c r="G29" s="62" t="n">
        <x:f>COUNTIFS('Topic Tracker'!$B$5:$B$496,$A29,'Topic Tracker'!$H$5:$H$496,"Needs Review")</x:f>
        <x:v>0</x:v>
      </x:c>
      <x:c r="H29" s="88" t="n">
        <x:f>IFERROR((E29+F29)/B29,0)</x:f>
        <x:v>0</x:v>
      </x:c>
    </x:row>
    <x:row r="30" ht="26" customHeight="1">
      <x:c r="A30" s="62" t="str">
        <x:v>02 | Types, Data Objects &amp; Structures</x:v>
      </x:c>
      <x:c r="B30" s="62" t="n">
        <x:f>COUNTIF('Topic Tracker'!$B$5:$B$496,$A30)</x:f>
        <x:v>15</x:v>
      </x:c>
      <x:c r="C30" s="62" t="n">
        <x:f>COUNTIFS('Topic Tracker'!$B$5:$B$496,$A30,'Topic Tracker'!$H$5:$H$496,"Not Started")</x:f>
        <x:v>15</x:v>
      </x:c>
      <x:c r="D30" s="62" t="n">
        <x:f>COUNTIFS('Topic Tracker'!$B$5:$B$496,$A30,'Topic Tracker'!$H$5:$H$496,"Learning")</x:f>
        <x:v>0</x:v>
      </x:c>
      <x:c r="E30" s="62" t="n">
        <x:f>COUNTIFS('Topic Tracker'!$B$5:$B$496,$A30,'Topic Tracker'!$H$5:$H$496,"Practiced")</x:f>
        <x:v>0</x:v>
      </x:c>
      <x:c r="F30" s="62" t="n">
        <x:f>COUNTIFS('Topic Tracker'!$B$5:$B$496,$A30,'Topic Tracker'!$H$5:$H$496,"Confident")</x:f>
        <x:v>0</x:v>
      </x:c>
      <x:c r="G30" s="62" t="n">
        <x:f>COUNTIFS('Topic Tracker'!$B$5:$B$496,$A30,'Topic Tracker'!$H$5:$H$496,"Needs Review")</x:f>
        <x:v>0</x:v>
      </x:c>
      <x:c r="H30" s="88" t="n">
        <x:f>IFERROR((E30+F30)/B30,0)</x:f>
        <x:v>0</x:v>
      </x:c>
    </x:row>
    <x:row r="31" ht="26" customHeight="1">
      <x:c r="A31" s="62" t="str">
        <x:v>03 | Modularization &amp; Program Structure</x:v>
      </x:c>
      <x:c r="B31" s="62" t="n">
        <x:f>COUNTIF('Topic Tracker'!$B$5:$B$496,$A31)</x:f>
        <x:v>9</x:v>
      </x:c>
      <x:c r="C31" s="62" t="n">
        <x:f>COUNTIFS('Topic Tracker'!$B$5:$B$496,$A31,'Topic Tracker'!$H$5:$H$496,"Not Started")</x:f>
        <x:v>9</x:v>
      </x:c>
      <x:c r="D31" s="62" t="n">
        <x:f>COUNTIFS('Topic Tracker'!$B$5:$B$496,$A31,'Topic Tracker'!$H$5:$H$496,"Learning")</x:f>
        <x:v>0</x:v>
      </x:c>
      <x:c r="E31" s="62" t="n">
        <x:f>COUNTIFS('Topic Tracker'!$B$5:$B$496,$A31,'Topic Tracker'!$H$5:$H$496,"Practiced")</x:f>
        <x:v>0</x:v>
      </x:c>
      <x:c r="F31" s="62" t="n">
        <x:f>COUNTIFS('Topic Tracker'!$B$5:$B$496,$A31,'Topic Tracker'!$H$5:$H$496,"Confident")</x:f>
        <x:v>0</x:v>
      </x:c>
      <x:c r="G31" s="62" t="n">
        <x:f>COUNTIFS('Topic Tracker'!$B$5:$B$496,$A31,'Topic Tracker'!$H$5:$H$496,"Needs Review")</x:f>
        <x:v>0</x:v>
      </x:c>
      <x:c r="H31" s="88" t="n">
        <x:f>IFERROR((E31+F31)/B31,0)</x:f>
        <x:v>0</x:v>
      </x:c>
    </x:row>
    <x:row r="32" ht="26" customHeight="1">
      <x:c r="A32" s="62" t="str">
        <x:v>04 | Internal Tables</x:v>
      </x:c>
      <x:c r="B32" s="62" t="n">
        <x:f>COUNTIF('Topic Tracker'!$B$5:$B$496,$A32)</x:f>
        <x:v>20</x:v>
      </x:c>
      <x:c r="C32" s="62" t="n">
        <x:f>COUNTIFS('Topic Tracker'!$B$5:$B$496,$A32,'Topic Tracker'!$H$5:$H$496,"Not Started")</x:f>
        <x:v>20</x:v>
      </x:c>
      <x:c r="D32" s="62" t="n">
        <x:f>COUNTIFS('Topic Tracker'!$B$5:$B$496,$A32,'Topic Tracker'!$H$5:$H$496,"Learning")</x:f>
        <x:v>0</x:v>
      </x:c>
      <x:c r="E32" s="62" t="n">
        <x:f>COUNTIFS('Topic Tracker'!$B$5:$B$496,$A32,'Topic Tracker'!$H$5:$H$496,"Practiced")</x:f>
        <x:v>0</x:v>
      </x:c>
      <x:c r="F32" s="62" t="n">
        <x:f>COUNTIFS('Topic Tracker'!$B$5:$B$496,$A32,'Topic Tracker'!$H$5:$H$496,"Confident")</x:f>
        <x:v>0</x:v>
      </x:c>
      <x:c r="G32" s="62" t="n">
        <x:f>COUNTIFS('Topic Tracker'!$B$5:$B$496,$A32,'Topic Tracker'!$H$5:$H$496,"Needs Review")</x:f>
        <x:v>0</x:v>
      </x:c>
      <x:c r="H32" s="88" t="n">
        <x:f>IFERROR((E32+F32)/B32,0)</x:f>
        <x:v>0</x:v>
      </x:c>
    </x:row>
    <x:row r="33" ht="26" customHeight="1">
      <x:c r="A33" s="62" t="str">
        <x:v>05 | ABAP SQL &amp; Database Access</x:v>
      </x:c>
      <x:c r="B33" s="62" t="n">
        <x:f>COUNTIF('Topic Tracker'!$B$5:$B$496,$A33)</x:f>
        <x:v>22</x:v>
      </x:c>
      <x:c r="C33" s="62" t="n">
        <x:f>COUNTIFS('Topic Tracker'!$B$5:$B$496,$A33,'Topic Tracker'!$H$5:$H$496,"Not Started")</x:f>
        <x:v>22</x:v>
      </x:c>
      <x:c r="D33" s="62" t="n">
        <x:f>COUNTIFS('Topic Tracker'!$B$5:$B$496,$A33,'Topic Tracker'!$H$5:$H$496,"Learning")</x:f>
        <x:v>0</x:v>
      </x:c>
      <x:c r="E33" s="62" t="n">
        <x:f>COUNTIFS('Topic Tracker'!$B$5:$B$496,$A33,'Topic Tracker'!$H$5:$H$496,"Practiced")</x:f>
        <x:v>0</x:v>
      </x:c>
      <x:c r="F33" s="62" t="n">
        <x:f>COUNTIFS('Topic Tracker'!$B$5:$B$496,$A33,'Topic Tracker'!$H$5:$H$496,"Confident")</x:f>
        <x:v>0</x:v>
      </x:c>
      <x:c r="G33" s="62" t="n">
        <x:f>COUNTIFS('Topic Tracker'!$B$5:$B$496,$A33,'Topic Tracker'!$H$5:$H$496,"Needs Review")</x:f>
        <x:v>0</x:v>
      </x:c>
      <x:c r="H33" s="88" t="n">
        <x:f>IFERROR((E33+F33)/B33,0)</x:f>
        <x:v>0</x:v>
      </x:c>
    </x:row>
    <x:row r="34" ht="26" customHeight="1">
      <x:c r="A34" s="62" t="str">
        <x:v>06 | ABAP Dictionary (DDIC) &amp; Data Modeling</x:v>
      </x:c>
      <x:c r="B34" s="62" t="n">
        <x:f>COUNTIF('Topic Tracker'!$B$5:$B$496,$A34)</x:f>
        <x:v>18</x:v>
      </x:c>
      <x:c r="C34" s="62" t="n">
        <x:f>COUNTIFS('Topic Tracker'!$B$5:$B$496,$A34,'Topic Tracker'!$H$5:$H$496,"Not Started")</x:f>
        <x:v>18</x:v>
      </x:c>
      <x:c r="D34" s="62" t="n">
        <x:f>COUNTIFS('Topic Tracker'!$B$5:$B$496,$A34,'Topic Tracker'!$H$5:$H$496,"Learning")</x:f>
        <x:v>0</x:v>
      </x:c>
      <x:c r="E34" s="62" t="n">
        <x:f>COUNTIFS('Topic Tracker'!$B$5:$B$496,$A34,'Topic Tracker'!$H$5:$H$496,"Practiced")</x:f>
        <x:v>0</x:v>
      </x:c>
      <x:c r="F34" s="62" t="n">
        <x:f>COUNTIFS('Topic Tracker'!$B$5:$B$496,$A34,'Topic Tracker'!$H$5:$H$496,"Confident")</x:f>
        <x:v>0</x:v>
      </x:c>
      <x:c r="G34" s="62" t="n">
        <x:f>COUNTIFS('Topic Tracker'!$B$5:$B$496,$A34,'Topic Tracker'!$H$5:$H$496,"Needs Review")</x:f>
        <x:v>0</x:v>
      </x:c>
      <x:c r="H34" s="88" t="n">
        <x:f>IFERROR((E34+F34)/B34,0)</x:f>
        <x:v>0</x:v>
      </x:c>
    </x:row>
    <x:row r="35" ht="26" customHeight="1">
      <x:c r="A35" s="62" t="str">
        <x:v>07 | Reports &amp; Selection Screens</x:v>
      </x:c>
      <x:c r="B35" s="62" t="n">
        <x:f>COUNTIF('Topic Tracker'!$B$5:$B$496,$A35)</x:f>
        <x:v>13</x:v>
      </x:c>
      <x:c r="C35" s="62" t="n">
        <x:f>COUNTIFS('Topic Tracker'!$B$5:$B$496,$A35,'Topic Tracker'!$H$5:$H$496,"Not Started")</x:f>
        <x:v>13</x:v>
      </x:c>
      <x:c r="D35" s="62" t="n">
        <x:f>COUNTIFS('Topic Tracker'!$B$5:$B$496,$A35,'Topic Tracker'!$H$5:$H$496,"Learning")</x:f>
        <x:v>0</x:v>
      </x:c>
      <x:c r="E35" s="62" t="n">
        <x:f>COUNTIFS('Topic Tracker'!$B$5:$B$496,$A35,'Topic Tracker'!$H$5:$H$496,"Practiced")</x:f>
        <x:v>0</x:v>
      </x:c>
      <x:c r="F35" s="62" t="n">
        <x:f>COUNTIFS('Topic Tracker'!$B$5:$B$496,$A35,'Topic Tracker'!$H$5:$H$496,"Confident")</x:f>
        <x:v>0</x:v>
      </x:c>
      <x:c r="G35" s="62" t="n">
        <x:f>COUNTIFS('Topic Tracker'!$B$5:$B$496,$A35,'Topic Tracker'!$H$5:$H$496,"Needs Review")</x:f>
        <x:v>0</x:v>
      </x:c>
      <x:c r="H35" s="88" t="n">
        <x:f>IFERROR((E35+F35)/B35,0)</x:f>
        <x:v>0</x:v>
      </x:c>
    </x:row>
    <x:row r="36" ht="26" customHeight="1">
      <x:c r="A36" s="62" t="str">
        <x:v>08 | Classic ALV &amp; User Interaction</x:v>
      </x:c>
      <x:c r="B36" s="62" t="n">
        <x:f>COUNTIF('Topic Tracker'!$B$5:$B$496,$A36)</x:f>
        <x:v>14</x:v>
      </x:c>
      <x:c r="C36" s="62" t="n">
        <x:f>COUNTIFS('Topic Tracker'!$B$5:$B$496,$A36,'Topic Tracker'!$H$5:$H$496,"Not Started")</x:f>
        <x:v>14</x:v>
      </x:c>
      <x:c r="D36" s="62" t="n">
        <x:f>COUNTIFS('Topic Tracker'!$B$5:$B$496,$A36,'Topic Tracker'!$H$5:$H$496,"Learning")</x:f>
        <x:v>0</x:v>
      </x:c>
      <x:c r="E36" s="62" t="n">
        <x:f>COUNTIFS('Topic Tracker'!$B$5:$B$496,$A36,'Topic Tracker'!$H$5:$H$496,"Practiced")</x:f>
        <x:v>0</x:v>
      </x:c>
      <x:c r="F36" s="62" t="n">
        <x:f>COUNTIFS('Topic Tracker'!$B$5:$B$496,$A36,'Topic Tracker'!$H$5:$H$496,"Confident")</x:f>
        <x:v>0</x:v>
      </x:c>
      <x:c r="G36" s="62" t="n">
        <x:f>COUNTIFS('Topic Tracker'!$B$5:$B$496,$A36,'Topic Tracker'!$H$5:$H$496,"Needs Review")</x:f>
        <x:v>0</x:v>
      </x:c>
      <x:c r="H36" s="88" t="n">
        <x:f>IFERROR((E36+F36)/B36,0)</x:f>
        <x:v>0</x:v>
      </x:c>
    </x:row>
    <x:row r="37" ht="26" customHeight="1">
      <x:c r="A37" s="62" t="str">
        <x:v>09 | Object-Oriented ABAP</x:v>
      </x:c>
      <x:c r="B37" s="62" t="n">
        <x:f>COUNTIF('Topic Tracker'!$B$5:$B$496,$A37)</x:f>
        <x:v>22</x:v>
      </x:c>
      <x:c r="C37" s="62" t="n">
        <x:f>COUNTIFS('Topic Tracker'!$B$5:$B$496,$A37,'Topic Tracker'!$H$5:$H$496,"Not Started")</x:f>
        <x:v>22</x:v>
      </x:c>
      <x:c r="D37" s="62" t="n">
        <x:f>COUNTIFS('Topic Tracker'!$B$5:$B$496,$A37,'Topic Tracker'!$H$5:$H$496,"Learning")</x:f>
        <x:v>0</x:v>
      </x:c>
      <x:c r="E37" s="62" t="n">
        <x:f>COUNTIFS('Topic Tracker'!$B$5:$B$496,$A37,'Topic Tracker'!$H$5:$H$496,"Practiced")</x:f>
        <x:v>0</x:v>
      </x:c>
      <x:c r="F37" s="62" t="n">
        <x:f>COUNTIFS('Topic Tracker'!$B$5:$B$496,$A37,'Topic Tracker'!$H$5:$H$496,"Confident")</x:f>
        <x:v>0</x:v>
      </x:c>
      <x:c r="G37" s="62" t="n">
        <x:f>COUNTIFS('Topic Tracker'!$B$5:$B$496,$A37,'Topic Tracker'!$H$5:$H$496,"Needs Review")</x:f>
        <x:v>0</x:v>
      </x:c>
      <x:c r="H37" s="88" t="n">
        <x:f>IFERROR((E37+F37)/B37,0)</x:f>
        <x:v>0</x:v>
      </x:c>
    </x:row>
    <x:row r="38" ht="26" customHeight="1">
      <x:c r="A38" s="62" t="str">
        <x:v>10 | Modern ABAP Syntax</x:v>
      </x:c>
      <x:c r="B38" s="62" t="n">
        <x:f>COUNTIF('Topic Tracker'!$B$5:$B$496,$A38)</x:f>
        <x:v>19</x:v>
      </x:c>
      <x:c r="C38" s="62" t="n">
        <x:f>COUNTIFS('Topic Tracker'!$B$5:$B$496,$A38,'Topic Tracker'!$H$5:$H$496,"Not Started")</x:f>
        <x:v>19</x:v>
      </x:c>
      <x:c r="D38" s="62" t="n">
        <x:f>COUNTIFS('Topic Tracker'!$B$5:$B$496,$A38,'Topic Tracker'!$H$5:$H$496,"Learning")</x:f>
        <x:v>0</x:v>
      </x:c>
      <x:c r="E38" s="62" t="n">
        <x:f>COUNTIFS('Topic Tracker'!$B$5:$B$496,$A38,'Topic Tracker'!$H$5:$H$496,"Practiced")</x:f>
        <x:v>0</x:v>
      </x:c>
      <x:c r="F38" s="62" t="n">
        <x:f>COUNTIFS('Topic Tracker'!$B$5:$B$496,$A38,'Topic Tracker'!$H$5:$H$496,"Confident")</x:f>
        <x:v>0</x:v>
      </x:c>
      <x:c r="G38" s="62" t="n">
        <x:f>COUNTIFS('Topic Tracker'!$B$5:$B$496,$A38,'Topic Tracker'!$H$5:$H$496,"Needs Review")</x:f>
        <x:v>0</x:v>
      </x:c>
      <x:c r="H38" s="88" t="n">
        <x:f>IFERROR((E38+F38)/B38,0)</x:f>
        <x:v>0</x:v>
      </x:c>
    </x:row>
    <x:row r="39" ht="26" customHeight="1">
      <x:c r="A39" s="62" t="str">
        <x:v>11 | Exceptions, Messages &amp; Application Logging</x:v>
      </x:c>
      <x:c r="B39" s="62" t="n">
        <x:f>COUNTIF('Topic Tracker'!$B$5:$B$496,$A39)</x:f>
        <x:v>11</x:v>
      </x:c>
      <x:c r="C39" s="62" t="n">
        <x:f>COUNTIFS('Topic Tracker'!$B$5:$B$496,$A39,'Topic Tracker'!$H$5:$H$496,"Not Started")</x:f>
        <x:v>11</x:v>
      </x:c>
      <x:c r="D39" s="62" t="n">
        <x:f>COUNTIFS('Topic Tracker'!$B$5:$B$496,$A39,'Topic Tracker'!$H$5:$H$496,"Learning")</x:f>
        <x:v>0</x:v>
      </x:c>
      <x:c r="E39" s="62" t="n">
        <x:f>COUNTIFS('Topic Tracker'!$B$5:$B$496,$A39,'Topic Tracker'!$H$5:$H$496,"Practiced")</x:f>
        <x:v>0</x:v>
      </x:c>
      <x:c r="F39" s="62" t="n">
        <x:f>COUNTIFS('Topic Tracker'!$B$5:$B$496,$A39,'Topic Tracker'!$H$5:$H$496,"Confident")</x:f>
        <x:v>0</x:v>
      </x:c>
      <x:c r="G39" s="62" t="n">
        <x:f>COUNTIFS('Topic Tracker'!$B$5:$B$496,$A39,'Topic Tracker'!$H$5:$H$496,"Needs Review")</x:f>
        <x:v>0</x:v>
      </x:c>
      <x:c r="H39" s="88" t="n">
        <x:f>IFERROR((E39+F39)/B39,0)</x:f>
        <x:v>0</x:v>
      </x:c>
    </x:row>
    <x:row r="40" ht="26" customHeight="1">
      <x:c r="A40" s="62" t="str">
        <x:v>12 | Debugging &amp; Development Tools</x:v>
      </x:c>
      <x:c r="B40" s="62" t="n">
        <x:f>COUNTIF('Topic Tracker'!$B$5:$B$496,$A40)</x:f>
        <x:v>15</x:v>
      </x:c>
      <x:c r="C40" s="62" t="n">
        <x:f>COUNTIFS('Topic Tracker'!$B$5:$B$496,$A40,'Topic Tracker'!$H$5:$H$496,"Not Started")</x:f>
        <x:v>15</x:v>
      </x:c>
      <x:c r="D40" s="62" t="n">
        <x:f>COUNTIFS('Topic Tracker'!$B$5:$B$496,$A40,'Topic Tracker'!$H$5:$H$496,"Learning")</x:f>
        <x:v>0</x:v>
      </x:c>
      <x:c r="E40" s="62" t="n">
        <x:f>COUNTIFS('Topic Tracker'!$B$5:$B$496,$A40,'Topic Tracker'!$H$5:$H$496,"Practiced")</x:f>
        <x:v>0</x:v>
      </x:c>
      <x:c r="F40" s="62" t="n">
        <x:f>COUNTIFS('Topic Tracker'!$B$5:$B$496,$A40,'Topic Tracker'!$H$5:$H$496,"Confident")</x:f>
        <x:v>0</x:v>
      </x:c>
      <x:c r="G40" s="62" t="n">
        <x:f>COUNTIFS('Topic Tracker'!$B$5:$B$496,$A40,'Topic Tracker'!$H$5:$H$496,"Needs Review")</x:f>
        <x:v>0</x:v>
      </x:c>
      <x:c r="H40" s="88" t="n">
        <x:f>IFERROR((E40+F40)/B40,0)</x:f>
        <x:v>0</x:v>
      </x:c>
    </x:row>
    <x:row r="41" ht="26" customHeight="1">
      <x:c r="A41" s="62" t="str">
        <x:v>13 | Enhancements &amp; Extension Techniques</x:v>
      </x:c>
      <x:c r="B41" s="62" t="n">
        <x:f>COUNTIF('Topic Tracker'!$B$5:$B$496,$A41)</x:f>
        <x:v>14</x:v>
      </x:c>
      <x:c r="C41" s="62" t="n">
        <x:f>COUNTIFS('Topic Tracker'!$B$5:$B$496,$A41,'Topic Tracker'!$H$5:$H$496,"Not Started")</x:f>
        <x:v>14</x:v>
      </x:c>
      <x:c r="D41" s="62" t="n">
        <x:f>COUNTIFS('Topic Tracker'!$B$5:$B$496,$A41,'Topic Tracker'!$H$5:$H$496,"Learning")</x:f>
        <x:v>0</x:v>
      </x:c>
      <x:c r="E41" s="62" t="n">
        <x:f>COUNTIFS('Topic Tracker'!$B$5:$B$496,$A41,'Topic Tracker'!$H$5:$H$496,"Practiced")</x:f>
        <x:v>0</x:v>
      </x:c>
      <x:c r="F41" s="62" t="n">
        <x:f>COUNTIFS('Topic Tracker'!$B$5:$B$496,$A41,'Topic Tracker'!$H$5:$H$496,"Confident")</x:f>
        <x:v>0</x:v>
      </x:c>
      <x:c r="G41" s="62" t="n">
        <x:f>COUNTIFS('Topic Tracker'!$B$5:$B$496,$A41,'Topic Tracker'!$H$5:$H$496,"Needs Review")</x:f>
        <x:v>0</x:v>
      </x:c>
      <x:c r="H41" s="88" t="n">
        <x:f>IFERROR((E41+F41)/B41,0)</x:f>
        <x:v>0</x:v>
      </x:c>
    </x:row>
    <x:row r="42" ht="26" customHeight="1">
      <x:c r="A42" s="62" t="str">
        <x:v>14 | Data Migration &amp; Batch Input</x:v>
      </x:c>
      <x:c r="B42" s="62" t="n">
        <x:f>COUNTIF('Topic Tracker'!$B$5:$B$496,$A42)</x:f>
        <x:v>10</x:v>
      </x:c>
      <x:c r="C42" s="62" t="n">
        <x:f>COUNTIFS('Topic Tracker'!$B$5:$B$496,$A42,'Topic Tracker'!$H$5:$H$496,"Not Started")</x:f>
        <x:v>10</x:v>
      </x:c>
      <x:c r="D42" s="62" t="n">
        <x:f>COUNTIFS('Topic Tracker'!$B$5:$B$496,$A42,'Topic Tracker'!$H$5:$H$496,"Learning")</x:f>
        <x:v>0</x:v>
      </x:c>
      <x:c r="E42" s="62" t="n">
        <x:f>COUNTIFS('Topic Tracker'!$B$5:$B$496,$A42,'Topic Tracker'!$H$5:$H$496,"Practiced")</x:f>
        <x:v>0</x:v>
      </x:c>
      <x:c r="F42" s="62" t="n">
        <x:f>COUNTIFS('Topic Tracker'!$B$5:$B$496,$A42,'Topic Tracker'!$H$5:$H$496,"Confident")</x:f>
        <x:v>0</x:v>
      </x:c>
      <x:c r="G42" s="62" t="n">
        <x:f>COUNTIFS('Topic Tracker'!$B$5:$B$496,$A42,'Topic Tracker'!$H$5:$H$496,"Needs Review")</x:f>
        <x:v>0</x:v>
      </x:c>
      <x:c r="H42" s="88" t="n">
        <x:f>IFERROR((E42+F42)/B42,0)</x:f>
        <x:v>0</x:v>
      </x:c>
    </x:row>
    <x:row r="43" ht="26" customHeight="1">
      <x:c r="A43" s="62" t="str">
        <x:v>15 | Function Modules, BAPIs &amp; RFC</x:v>
      </x:c>
      <x:c r="B43" s="62" t="n">
        <x:f>COUNTIF('Topic Tracker'!$B$5:$B$496,$A43)</x:f>
        <x:v>14</x:v>
      </x:c>
      <x:c r="C43" s="62" t="n">
        <x:f>COUNTIFS('Topic Tracker'!$B$5:$B$496,$A43,'Topic Tracker'!$H$5:$H$496,"Not Started")</x:f>
        <x:v>14</x:v>
      </x:c>
      <x:c r="D43" s="62" t="n">
        <x:f>COUNTIFS('Topic Tracker'!$B$5:$B$496,$A43,'Topic Tracker'!$H$5:$H$496,"Learning")</x:f>
        <x:v>0</x:v>
      </x:c>
      <x:c r="E43" s="62" t="n">
        <x:f>COUNTIFS('Topic Tracker'!$B$5:$B$496,$A43,'Topic Tracker'!$H$5:$H$496,"Practiced")</x:f>
        <x:v>0</x:v>
      </x:c>
      <x:c r="F43" s="62" t="n">
        <x:f>COUNTIFS('Topic Tracker'!$B$5:$B$496,$A43,'Topic Tracker'!$H$5:$H$496,"Confident")</x:f>
        <x:v>0</x:v>
      </x:c>
      <x:c r="G43" s="62" t="n">
        <x:f>COUNTIFS('Topic Tracker'!$B$5:$B$496,$A43,'Topic Tracker'!$H$5:$H$496,"Needs Review")</x:f>
        <x:v>0</x:v>
      </x:c>
      <x:c r="H43" s="88" t="n">
        <x:f>IFERROR((E43+F43)/B43,0)</x:f>
        <x:v>0</x:v>
      </x:c>
    </x:row>
    <x:row r="44" ht="26" customHeight="1">
      <x:c r="A44" s="62" t="str">
        <x:v>16 | IDoc, ALE &amp; EDI</x:v>
      </x:c>
      <x:c r="B44" s="62" t="n">
        <x:f>COUNTIF('Topic Tracker'!$B$5:$B$496,$A44)</x:f>
        <x:v>15</x:v>
      </x:c>
      <x:c r="C44" s="62" t="n">
        <x:f>COUNTIFS('Topic Tracker'!$B$5:$B$496,$A44,'Topic Tracker'!$H$5:$H$496,"Not Started")</x:f>
        <x:v>15</x:v>
      </x:c>
      <x:c r="D44" s="62" t="n">
        <x:f>COUNTIFS('Topic Tracker'!$B$5:$B$496,$A44,'Topic Tracker'!$H$5:$H$496,"Learning")</x:f>
        <x:v>0</x:v>
      </x:c>
      <x:c r="E44" s="62" t="n">
        <x:f>COUNTIFS('Topic Tracker'!$B$5:$B$496,$A44,'Topic Tracker'!$H$5:$H$496,"Practiced")</x:f>
        <x:v>0</x:v>
      </x:c>
      <x:c r="F44" s="62" t="n">
        <x:f>COUNTIFS('Topic Tracker'!$B$5:$B$496,$A44,'Topic Tracker'!$H$5:$H$496,"Confident")</x:f>
        <x:v>0</x:v>
      </x:c>
      <x:c r="G44" s="62" t="n">
        <x:f>COUNTIFS('Topic Tracker'!$B$5:$B$496,$A44,'Topic Tracker'!$H$5:$H$496,"Needs Review")</x:f>
        <x:v>0</x:v>
      </x:c>
      <x:c r="H44" s="88" t="n">
        <x:f>IFERROR((E44+F44)/B44,0)</x:f>
        <x:v>0</x:v>
      </x:c>
    </x:row>
    <x:row r="45" ht="26" customHeight="1">
      <x:c r="A45" s="62" t="str">
        <x:v>17 | Forms, Spool &amp; Output Management</x:v>
      </x:c>
      <x:c r="B45" s="62" t="n">
        <x:f>COUNTIF('Topic Tracker'!$B$5:$B$496,$A45)</x:f>
        <x:v>10</x:v>
      </x:c>
      <x:c r="C45" s="62" t="n">
        <x:f>COUNTIFS('Topic Tracker'!$B$5:$B$496,$A45,'Topic Tracker'!$H$5:$H$496,"Not Started")</x:f>
        <x:v>10</x:v>
      </x:c>
      <x:c r="D45" s="62" t="n">
        <x:f>COUNTIFS('Topic Tracker'!$B$5:$B$496,$A45,'Topic Tracker'!$H$5:$H$496,"Learning")</x:f>
        <x:v>0</x:v>
      </x:c>
      <x:c r="E45" s="62" t="n">
        <x:f>COUNTIFS('Topic Tracker'!$B$5:$B$496,$A45,'Topic Tracker'!$H$5:$H$496,"Practiced")</x:f>
        <x:v>0</x:v>
      </x:c>
      <x:c r="F45" s="62" t="n">
        <x:f>COUNTIFS('Topic Tracker'!$B$5:$B$496,$A45,'Topic Tracker'!$H$5:$H$496,"Confident")</x:f>
        <x:v>0</x:v>
      </x:c>
      <x:c r="G45" s="62" t="n">
        <x:f>COUNTIFS('Topic Tracker'!$B$5:$B$496,$A45,'Topic Tracker'!$H$5:$H$496,"Needs Review")</x:f>
        <x:v>0</x:v>
      </x:c>
      <x:c r="H45" s="88" t="n">
        <x:f>IFERROR((E45+F45)/B45,0)</x:f>
        <x:v>0</x:v>
      </x:c>
    </x:row>
    <x:row r="46" ht="26" customHeight="1">
      <x:c r="A46" s="62" t="str">
        <x:v>18 | CDS Data Modeling</x:v>
      </x:c>
      <x:c r="B46" s="62" t="n">
        <x:f>COUNTIF('Topic Tracker'!$B$5:$B$496,$A46)</x:f>
        <x:v>22</x:v>
      </x:c>
      <x:c r="C46" s="62" t="n">
        <x:f>COUNTIFS('Topic Tracker'!$B$5:$B$496,$A46,'Topic Tracker'!$H$5:$H$496,"Not Started")</x:f>
        <x:v>22</x:v>
      </x:c>
      <x:c r="D46" s="62" t="n">
        <x:f>COUNTIFS('Topic Tracker'!$B$5:$B$496,$A46,'Topic Tracker'!$H$5:$H$496,"Learning")</x:f>
        <x:v>0</x:v>
      </x:c>
      <x:c r="E46" s="62" t="n">
        <x:f>COUNTIFS('Topic Tracker'!$B$5:$B$496,$A46,'Topic Tracker'!$H$5:$H$496,"Practiced")</x:f>
        <x:v>0</x:v>
      </x:c>
      <x:c r="F46" s="62" t="n">
        <x:f>COUNTIFS('Topic Tracker'!$B$5:$B$496,$A46,'Topic Tracker'!$H$5:$H$496,"Confident")</x:f>
        <x:v>0</x:v>
      </x:c>
      <x:c r="G46" s="62" t="n">
        <x:f>COUNTIFS('Topic Tracker'!$B$5:$B$496,$A46,'Topic Tracker'!$H$5:$H$496,"Needs Review")</x:f>
        <x:v>0</x:v>
      </x:c>
      <x:c r="H46" s="88" t="n">
        <x:f>IFERROR((E46+F46)/B46,0)</x:f>
        <x:v>0</x:v>
      </x:c>
    </x:row>
    <x:row r="47" ht="26" customHeight="1">
      <x:c r="A47" s="62" t="str">
        <x:v>19 | SAP HANA, AMDP &amp; Advanced SQL</x:v>
      </x:c>
      <x:c r="B47" s="62" t="n">
        <x:f>COUNTIF('Topic Tracker'!$B$5:$B$496,$A47)</x:f>
        <x:v>10</x:v>
      </x:c>
      <x:c r="C47" s="62" t="n">
        <x:f>COUNTIFS('Topic Tracker'!$B$5:$B$496,$A47,'Topic Tracker'!$H$5:$H$496,"Not Started")</x:f>
        <x:v>10</x:v>
      </x:c>
      <x:c r="D47" s="62" t="n">
        <x:f>COUNTIFS('Topic Tracker'!$B$5:$B$496,$A47,'Topic Tracker'!$H$5:$H$496,"Learning")</x:f>
        <x:v>0</x:v>
      </x:c>
      <x:c r="E47" s="62" t="n">
        <x:f>COUNTIFS('Topic Tracker'!$B$5:$B$496,$A47,'Topic Tracker'!$H$5:$H$496,"Practiced")</x:f>
        <x:v>0</x:v>
      </x:c>
      <x:c r="F47" s="62" t="n">
        <x:f>COUNTIFS('Topic Tracker'!$B$5:$B$496,$A47,'Topic Tracker'!$H$5:$H$496,"Confident")</x:f>
        <x:v>0</x:v>
      </x:c>
      <x:c r="G47" s="62" t="n">
        <x:f>COUNTIFS('Topic Tracker'!$B$5:$B$496,$A47,'Topic Tracker'!$H$5:$H$496,"Needs Review")</x:f>
        <x:v>0</x:v>
      </x:c>
      <x:c r="H47" s="88" t="n">
        <x:f>IFERROR((E47+F47)/B47,0)</x:f>
        <x:v>0</x:v>
      </x:c>
    </x:row>
    <x:row r="48" ht="26" customHeight="1">
      <x:c r="A48" s="62" t="str">
        <x:v>20 | OData &amp; SAP Gateway</x:v>
      </x:c>
      <x:c r="B48" s="62" t="n">
        <x:f>COUNTIF('Topic Tracker'!$B$5:$B$496,$A48)</x:f>
        <x:v>20</x:v>
      </x:c>
      <x:c r="C48" s="62" t="n">
        <x:f>COUNTIFS('Topic Tracker'!$B$5:$B$496,$A48,'Topic Tracker'!$H$5:$H$496,"Not Started")</x:f>
        <x:v>20</x:v>
      </x:c>
      <x:c r="D48" s="62" t="n">
        <x:f>COUNTIFS('Topic Tracker'!$B$5:$B$496,$A48,'Topic Tracker'!$H$5:$H$496,"Learning")</x:f>
        <x:v>0</x:v>
      </x:c>
      <x:c r="E48" s="62" t="n">
        <x:f>COUNTIFS('Topic Tracker'!$B$5:$B$496,$A48,'Topic Tracker'!$H$5:$H$496,"Practiced")</x:f>
        <x:v>0</x:v>
      </x:c>
      <x:c r="F48" s="62" t="n">
        <x:f>COUNTIFS('Topic Tracker'!$B$5:$B$496,$A48,'Topic Tracker'!$H$5:$H$496,"Confident")</x:f>
        <x:v>0</x:v>
      </x:c>
      <x:c r="G48" s="62" t="n">
        <x:f>COUNTIFS('Topic Tracker'!$B$5:$B$496,$A48,'Topic Tracker'!$H$5:$H$496,"Needs Review")</x:f>
        <x:v>0</x:v>
      </x:c>
      <x:c r="H48" s="88" t="n">
        <x:f>IFERROR((E48+F48)/B48,0)</x:f>
        <x:v>0</x:v>
      </x:c>
    </x:row>
    <x:row r="49" ht="26" customHeight="1">
      <x:c r="A49" s="62" t="str">
        <x:v>21 | SAPUI5, Fiori &amp; ABAP Integration</x:v>
      </x:c>
      <x:c r="B49" s="62" t="n">
        <x:f>COUNTIF('Topic Tracker'!$B$5:$B$496,$A49)</x:f>
        <x:v>20</x:v>
      </x:c>
      <x:c r="C49" s="62" t="n">
        <x:f>COUNTIFS('Topic Tracker'!$B$5:$B$496,$A49,'Topic Tracker'!$H$5:$H$496,"Not Started")</x:f>
        <x:v>20</x:v>
      </x:c>
      <x:c r="D49" s="62" t="n">
        <x:f>COUNTIFS('Topic Tracker'!$B$5:$B$496,$A49,'Topic Tracker'!$H$5:$H$496,"Learning")</x:f>
        <x:v>0</x:v>
      </x:c>
      <x:c r="E49" s="62" t="n">
        <x:f>COUNTIFS('Topic Tracker'!$B$5:$B$496,$A49,'Topic Tracker'!$H$5:$H$496,"Practiced")</x:f>
        <x:v>0</x:v>
      </x:c>
      <x:c r="F49" s="62" t="n">
        <x:f>COUNTIFS('Topic Tracker'!$B$5:$B$496,$A49,'Topic Tracker'!$H$5:$H$496,"Confident")</x:f>
        <x:v>0</x:v>
      </x:c>
      <x:c r="G49" s="62" t="n">
        <x:f>COUNTIFS('Topic Tracker'!$B$5:$B$496,$A49,'Topic Tracker'!$H$5:$H$496,"Needs Review")</x:f>
        <x:v>0</x:v>
      </x:c>
      <x:c r="H49" s="88" t="n">
        <x:f>IFERROR((E49+F49)/B49,0)</x:f>
        <x:v>0</x:v>
      </x:c>
    </x:row>
    <x:row r="50" ht="26" customHeight="1">
      <x:c r="A50" s="62" t="str">
        <x:v>22 | RAP &amp; Modern ABAP Services</x:v>
      </x:c>
      <x:c r="B50" s="62" t="n">
        <x:f>COUNTIF('Topic Tracker'!$B$5:$B$496,$A50)</x:f>
        <x:v>25</x:v>
      </x:c>
      <x:c r="C50" s="62" t="n">
        <x:f>COUNTIFS('Topic Tracker'!$B$5:$B$496,$A50,'Topic Tracker'!$H$5:$H$496,"Not Started")</x:f>
        <x:v>25</x:v>
      </x:c>
      <x:c r="D50" s="62" t="n">
        <x:f>COUNTIFS('Topic Tracker'!$B$5:$B$496,$A50,'Topic Tracker'!$H$5:$H$496,"Learning")</x:f>
        <x:v>0</x:v>
      </x:c>
      <x:c r="E50" s="62" t="n">
        <x:f>COUNTIFS('Topic Tracker'!$B$5:$B$496,$A50,'Topic Tracker'!$H$5:$H$496,"Practiced")</x:f>
        <x:v>0</x:v>
      </x:c>
      <x:c r="F50" s="62" t="n">
        <x:f>COUNTIFS('Topic Tracker'!$B$5:$B$496,$A50,'Topic Tracker'!$H$5:$H$496,"Confident")</x:f>
        <x:v>0</x:v>
      </x:c>
      <x:c r="G50" s="62" t="n">
        <x:f>COUNTIFS('Topic Tracker'!$B$5:$B$496,$A50,'Topic Tracker'!$H$5:$H$496,"Needs Review")</x:f>
        <x:v>0</x:v>
      </x:c>
      <x:c r="H50" s="88" t="n">
        <x:f>IFERROR((E50+F50)/B50,0)</x:f>
        <x:v>0</x:v>
      </x:c>
    </x:row>
    <x:row r="51" ht="26" customHeight="1">
      <x:c r="A51" s="62" t="str">
        <x:v>23 | ABAP Cloud &amp; Clean Core</x:v>
      </x:c>
      <x:c r="B51" s="62" t="n">
        <x:f>COUNTIF('Topic Tracker'!$B$5:$B$496,$A51)</x:f>
        <x:v>13</x:v>
      </x:c>
      <x:c r="C51" s="62" t="n">
        <x:f>COUNTIFS('Topic Tracker'!$B$5:$B$496,$A51,'Topic Tracker'!$H$5:$H$496,"Not Started")</x:f>
        <x:v>13</x:v>
      </x:c>
      <x:c r="D51" s="62" t="n">
        <x:f>COUNTIFS('Topic Tracker'!$B$5:$B$496,$A51,'Topic Tracker'!$H$5:$H$496,"Learning")</x:f>
        <x:v>0</x:v>
      </x:c>
      <x:c r="E51" s="62" t="n">
        <x:f>COUNTIFS('Topic Tracker'!$B$5:$B$496,$A51,'Topic Tracker'!$H$5:$H$496,"Practiced")</x:f>
        <x:v>0</x:v>
      </x:c>
      <x:c r="F51" s="62" t="n">
        <x:f>COUNTIFS('Topic Tracker'!$B$5:$B$496,$A51,'Topic Tracker'!$H$5:$H$496,"Confident")</x:f>
        <x:v>0</x:v>
      </x:c>
      <x:c r="G51" s="62" t="n">
        <x:f>COUNTIFS('Topic Tracker'!$B$5:$B$496,$A51,'Topic Tracker'!$H$5:$H$496,"Needs Review")</x:f>
        <x:v>0</x:v>
      </x:c>
      <x:c r="H51" s="88" t="n">
        <x:f>IFERROR((E51+F51)/B51,0)</x:f>
        <x:v>0</x:v>
      </x:c>
    </x:row>
    <x:row r="52" ht="26" customHeight="1">
      <x:c r="A52" s="62" t="str">
        <x:v>24 | S/4HANA &amp; Functional Data Context</x:v>
      </x:c>
      <x:c r="B52" s="62" t="n">
        <x:f>COUNTIF('Topic Tracker'!$B$5:$B$496,$A52)</x:f>
        <x:v>12</x:v>
      </x:c>
      <x:c r="C52" s="62" t="n">
        <x:f>COUNTIFS('Topic Tracker'!$B$5:$B$496,$A52,'Topic Tracker'!$H$5:$H$496,"Not Started")</x:f>
        <x:v>12</x:v>
      </x:c>
      <x:c r="D52" s="62" t="n">
        <x:f>COUNTIFS('Topic Tracker'!$B$5:$B$496,$A52,'Topic Tracker'!$H$5:$H$496,"Learning")</x:f>
        <x:v>0</x:v>
      </x:c>
      <x:c r="E52" s="62" t="n">
        <x:f>COUNTIFS('Topic Tracker'!$B$5:$B$496,$A52,'Topic Tracker'!$H$5:$H$496,"Practiced")</x:f>
        <x:v>0</x:v>
      </x:c>
      <x:c r="F52" s="62" t="n">
        <x:f>COUNTIFS('Topic Tracker'!$B$5:$B$496,$A52,'Topic Tracker'!$H$5:$H$496,"Confident")</x:f>
        <x:v>0</x:v>
      </x:c>
      <x:c r="G52" s="62" t="n">
        <x:f>COUNTIFS('Topic Tracker'!$B$5:$B$496,$A52,'Topic Tracker'!$H$5:$H$496,"Needs Review")</x:f>
        <x:v>0</x:v>
      </x:c>
      <x:c r="H52" s="88" t="n">
        <x:f>IFERROR((E52+F52)/B52,0)</x:f>
        <x:v>0</x:v>
      </x:c>
    </x:row>
    <x:row r="53" ht="26" customHeight="1">
      <x:c r="A53" s="62" t="str">
        <x:v>25 | Security &amp; Authorization</x:v>
      </x:c>
      <x:c r="B53" s="62" t="n">
        <x:f>COUNTIF('Topic Tracker'!$B$5:$B$496,$A53)</x:f>
        <x:v>10</x:v>
      </x:c>
      <x:c r="C53" s="62" t="n">
        <x:f>COUNTIFS('Topic Tracker'!$B$5:$B$496,$A53,'Topic Tracker'!$H$5:$H$496,"Not Started")</x:f>
        <x:v>10</x:v>
      </x:c>
      <x:c r="D53" s="62" t="n">
        <x:f>COUNTIFS('Topic Tracker'!$B$5:$B$496,$A53,'Topic Tracker'!$H$5:$H$496,"Learning")</x:f>
        <x:v>0</x:v>
      </x:c>
      <x:c r="E53" s="62" t="n">
        <x:f>COUNTIFS('Topic Tracker'!$B$5:$B$496,$A53,'Topic Tracker'!$H$5:$H$496,"Practiced")</x:f>
        <x:v>0</x:v>
      </x:c>
      <x:c r="F53" s="62" t="n">
        <x:f>COUNTIFS('Topic Tracker'!$B$5:$B$496,$A53,'Topic Tracker'!$H$5:$H$496,"Confident")</x:f>
        <x:v>0</x:v>
      </x:c>
      <x:c r="G53" s="62" t="n">
        <x:f>COUNTIFS('Topic Tracker'!$B$5:$B$496,$A53,'Topic Tracker'!$H$5:$H$496,"Needs Review")</x:f>
        <x:v>0</x:v>
      </x:c>
      <x:c r="H53" s="88" t="n">
        <x:f>IFERROR((E53+F53)/B53,0)</x:f>
        <x:v>0</x:v>
      </x:c>
    </x:row>
    <x:row r="54" ht="26" customHeight="1">
      <x:c r="A54" s="62" t="str">
        <x:v>26 | LUWs, Locking, Update Tasks &amp; Jobs</x:v>
      </x:c>
      <x:c r="B54" s="62" t="n">
        <x:f>COUNTIF('Topic Tracker'!$B$5:$B$496,$A54)</x:f>
        <x:v>12</x:v>
      </x:c>
      <x:c r="C54" s="62" t="n">
        <x:f>COUNTIFS('Topic Tracker'!$B$5:$B$496,$A54,'Topic Tracker'!$H$5:$H$496,"Not Started")</x:f>
        <x:v>12</x:v>
      </x:c>
      <x:c r="D54" s="62" t="n">
        <x:f>COUNTIFS('Topic Tracker'!$B$5:$B$496,$A54,'Topic Tracker'!$H$5:$H$496,"Learning")</x:f>
        <x:v>0</x:v>
      </x:c>
      <x:c r="E54" s="62" t="n">
        <x:f>COUNTIFS('Topic Tracker'!$B$5:$B$496,$A54,'Topic Tracker'!$H$5:$H$496,"Practiced")</x:f>
        <x:v>0</x:v>
      </x:c>
      <x:c r="F54" s="62" t="n">
        <x:f>COUNTIFS('Topic Tracker'!$B$5:$B$496,$A54,'Topic Tracker'!$H$5:$H$496,"Confident")</x:f>
        <x:v>0</x:v>
      </x:c>
      <x:c r="G54" s="62" t="n">
        <x:f>COUNTIFS('Topic Tracker'!$B$5:$B$496,$A54,'Topic Tracker'!$H$5:$H$496,"Needs Review")</x:f>
        <x:v>0</x:v>
      </x:c>
      <x:c r="H54" s="88" t="n">
        <x:f>IFERROR((E54+F54)/B54,0)</x:f>
        <x:v>0</x:v>
      </x:c>
    </x:row>
    <x:row r="55" ht="26" customHeight="1">
      <x:c r="A55" s="62" t="str">
        <x:v>27 | Performance &amp; Scalability</x:v>
      </x:c>
      <x:c r="B55" s="62" t="n">
        <x:f>COUNTIF('Topic Tracker'!$B$5:$B$496,$A55)</x:f>
        <x:v>17</x:v>
      </x:c>
      <x:c r="C55" s="62" t="n">
        <x:f>COUNTIFS('Topic Tracker'!$B$5:$B$496,$A55,'Topic Tracker'!$H$5:$H$496,"Not Started")</x:f>
        <x:v>17</x:v>
      </x:c>
      <x:c r="D55" s="62" t="n">
        <x:f>COUNTIFS('Topic Tracker'!$B$5:$B$496,$A55,'Topic Tracker'!$H$5:$H$496,"Learning")</x:f>
        <x:v>0</x:v>
      </x:c>
      <x:c r="E55" s="62" t="n">
        <x:f>COUNTIFS('Topic Tracker'!$B$5:$B$496,$A55,'Topic Tracker'!$H$5:$H$496,"Practiced")</x:f>
        <x:v>0</x:v>
      </x:c>
      <x:c r="F55" s="62" t="n">
        <x:f>COUNTIFS('Topic Tracker'!$B$5:$B$496,$A55,'Topic Tracker'!$H$5:$H$496,"Confident")</x:f>
        <x:v>0</x:v>
      </x:c>
      <x:c r="G55" s="62" t="n">
        <x:f>COUNTIFS('Topic Tracker'!$B$5:$B$496,$A55,'Topic Tracker'!$H$5:$H$496,"Needs Review")</x:f>
        <x:v>0</x:v>
      </x:c>
      <x:c r="H55" s="88" t="n">
        <x:f>IFERROR((E55+F55)/B55,0)</x:f>
        <x:v>0</x:v>
      </x:c>
    </x:row>
    <x:row r="56" ht="26" customHeight="1">
      <x:c r="A56" s="62" t="str">
        <x:v>28 | Testing &amp; Code Quality</x:v>
      </x:c>
      <x:c r="B56" s="62" t="n">
        <x:f>COUNTIF('Topic Tracker'!$B$5:$B$496,$A56)</x:f>
        <x:v>15</x:v>
      </x:c>
      <x:c r="C56" s="62" t="n">
        <x:f>COUNTIFS('Topic Tracker'!$B$5:$B$496,$A56,'Topic Tracker'!$H$5:$H$496,"Not Started")</x:f>
        <x:v>15</x:v>
      </x:c>
      <x:c r="D56" s="62" t="n">
        <x:f>COUNTIFS('Topic Tracker'!$B$5:$B$496,$A56,'Topic Tracker'!$H$5:$H$496,"Learning")</x:f>
        <x:v>0</x:v>
      </x:c>
      <x:c r="E56" s="62" t="n">
        <x:f>COUNTIFS('Topic Tracker'!$B$5:$B$496,$A56,'Topic Tracker'!$H$5:$H$496,"Practiced")</x:f>
        <x:v>0</x:v>
      </x:c>
      <x:c r="F56" s="62" t="n">
        <x:f>COUNTIFS('Topic Tracker'!$B$5:$B$496,$A56,'Topic Tracker'!$H$5:$H$496,"Confident")</x:f>
        <x:v>0</x:v>
      </x:c>
      <x:c r="G56" s="62" t="n">
        <x:f>COUNTIFS('Topic Tracker'!$B$5:$B$496,$A56,'Topic Tracker'!$H$5:$H$496,"Needs Review")</x:f>
        <x:v>0</x:v>
      </x:c>
      <x:c r="H56" s="88" t="n">
        <x:f>IFERROR((E56+F56)/B56,0)</x:f>
        <x:v>0</x:v>
      </x:c>
    </x:row>
    <x:row r="57" ht="26" customHeight="1">
      <x:c r="A57" s="62" t="str">
        <x:v>29 | Integration Architecture &amp; Modern Connectivity</x:v>
      </x:c>
      <x:c r="B57" s="62" t="n">
        <x:f>COUNTIF('Topic Tracker'!$B$5:$B$496,$A57)</x:f>
        <x:v>13</x:v>
      </x:c>
      <x:c r="C57" s="62" t="n">
        <x:f>COUNTIFS('Topic Tracker'!$B$5:$B$496,$A57,'Topic Tracker'!$H$5:$H$496,"Not Started")</x:f>
        <x:v>13</x:v>
      </x:c>
      <x:c r="D57" s="62" t="n">
        <x:f>COUNTIFS('Topic Tracker'!$B$5:$B$496,$A57,'Topic Tracker'!$H$5:$H$496,"Learning")</x:f>
        <x:v>0</x:v>
      </x:c>
      <x:c r="E57" s="62" t="n">
        <x:f>COUNTIFS('Topic Tracker'!$B$5:$B$496,$A57,'Topic Tracker'!$H$5:$H$496,"Practiced")</x:f>
        <x:v>0</x:v>
      </x:c>
      <x:c r="F57" s="62" t="n">
        <x:f>COUNTIFS('Topic Tracker'!$B$5:$B$496,$A57,'Topic Tracker'!$H$5:$H$496,"Confident")</x:f>
        <x:v>0</x:v>
      </x:c>
      <x:c r="G57" s="62" t="n">
        <x:f>COUNTIFS('Topic Tracker'!$B$5:$B$496,$A57,'Topic Tracker'!$H$5:$H$496,"Needs Review")</x:f>
        <x:v>0</x:v>
      </x:c>
      <x:c r="H57" s="88" t="n">
        <x:f>IFERROR((E57+F57)/B57,0)</x:f>
        <x:v>0</x:v>
      </x:c>
    </x:row>
    <x:row r="58" ht="26" customHeight="1">
      <x:c r="A58" s="62" t="str">
        <x:v>30 | Transport, Git &amp; Delivery Practices</x:v>
      </x:c>
      <x:c r="B58" s="62" t="n">
        <x:f>COUNTIF('Topic Tracker'!$B$5:$B$496,$A58)</x:f>
        <x:v>15</x:v>
      </x:c>
      <x:c r="C58" s="62" t="n">
        <x:f>COUNTIFS('Topic Tracker'!$B$5:$B$496,$A58,'Topic Tracker'!$H$5:$H$496,"Not Started")</x:f>
        <x:v>15</x:v>
      </x:c>
      <x:c r="D58" s="62" t="n">
        <x:f>COUNTIFS('Topic Tracker'!$B$5:$B$496,$A58,'Topic Tracker'!$H$5:$H$496,"Learning")</x:f>
        <x:v>0</x:v>
      </x:c>
      <x:c r="E58" s="62" t="n">
        <x:f>COUNTIFS('Topic Tracker'!$B$5:$B$496,$A58,'Topic Tracker'!$H$5:$H$496,"Practiced")</x:f>
        <x:v>0</x:v>
      </x:c>
      <x:c r="F58" s="62" t="n">
        <x:f>COUNTIFS('Topic Tracker'!$B$5:$B$496,$A58,'Topic Tracker'!$H$5:$H$496,"Confident")</x:f>
        <x:v>0</x:v>
      </x:c>
      <x:c r="G58" s="62" t="n">
        <x:f>COUNTIFS('Topic Tracker'!$B$5:$B$496,$A58,'Topic Tracker'!$H$5:$H$496,"Needs Review")</x:f>
        <x:v>0</x:v>
      </x:c>
      <x:c r="H58" s="88" t="n">
        <x:f>IFERROR((E58+F58)/B58,0)</x:f>
        <x:v>0</x:v>
      </x:c>
    </x:row>
    <x:row r="59" ht="26" customHeight="1">
      <x:c r="A59" s="62" t="str">
        <x:v>31 | Architecture, Patterns &amp; Senior-Level Habits</x:v>
      </x:c>
      <x:c r="B59" s="62" t="n">
        <x:f>COUNTIF('Topic Tracker'!$B$5:$B$496,$A59)</x:f>
        <x:v>14</x:v>
      </x:c>
      <x:c r="C59" s="62" t="n">
        <x:f>COUNTIFS('Topic Tracker'!$B$5:$B$496,$A59,'Topic Tracker'!$H$5:$H$496,"Not Started")</x:f>
        <x:v>14</x:v>
      </x:c>
      <x:c r="D59" s="62" t="n">
        <x:f>COUNTIFS('Topic Tracker'!$B$5:$B$496,$A59,'Topic Tracker'!$H$5:$H$496,"Learning")</x:f>
        <x:v>0</x:v>
      </x:c>
      <x:c r="E59" s="62" t="n">
        <x:f>COUNTIFS('Topic Tracker'!$B$5:$B$496,$A59,'Topic Tracker'!$H$5:$H$496,"Practiced")</x:f>
        <x:v>0</x:v>
      </x:c>
      <x:c r="F59" s="62" t="n">
        <x:f>COUNTIFS('Topic Tracker'!$B$5:$B$496,$A59,'Topic Tracker'!$H$5:$H$496,"Confident")</x:f>
        <x:v>0</x:v>
      </x:c>
      <x:c r="G59" s="62" t="n">
        <x:f>COUNTIFS('Topic Tracker'!$B$5:$B$496,$A59,'Topic Tracker'!$H$5:$H$496,"Needs Review")</x:f>
        <x:v>0</x:v>
      </x:c>
      <x:c r="H59" s="88" t="n">
        <x:f>IFERROR((E59+F59)/B59,0)</x:f>
        <x:v>0</x:v>
      </x:c>
    </x:row>
    <x:row r="61" ht="32" customHeight="1">
      <x:c r="A61" s="51" t="str">
        <x:v>Review tip: Filter P1 topics first. Record concrete evidence such as a program, class, test case, SQL trace or resolved defect when marking an item Practiced or Confident.</x:v>
      </x:c>
      <x:c r="B61" s="51"/>
      <x:c r="C61" s="51"/>
      <x:c r="D61" s="51"/>
      <x:c r="E61" s="51"/>
      <x:c r="F61" s="51"/>
      <x:c r="G61" s="51"/>
      <x:c r="H61" s="51"/>
    </x:row>
  </x:sheetData>
  <x:mergeCells>
    <x:mergeCell ref="A1:H1"/>
    <x:mergeCell ref="A2:H2"/>
    <x:mergeCell ref="A61:H61"/>
  </x:mergeCells>
  <x:conditionalFormatting sqref="B10:B14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conditionalFormatting sqref="H28:H59">
    <x:cfRule type="dataBar" priority="2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{169BE573-5479-287D-BE93-74B15E11EBFA}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0F766E"/>
            </x14:dataBar>
          </x14:cfRule>
          <xm:sqref>B10:B14</xm:sqref>
        </x14:conditionalFormatting>
        <x14:conditionalFormatting>
          <x14:cfRule type="dataBar" priority="2" id="{169BE573-5479-287D-BE93-74B15E11EBFA}">
            <x14:dataBar gradient="1">
              <x14:cfvo type="min"/>
              <x14:cfvo type="max"/>
              <x14:fillColor rgb="FF0F766E"/>
            </x14:dataBar>
          </x14:cfRule>
          <xm:sqref>H28:H59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36" hidden="0" customWidth="1"/>
    <x:col min="3" max="3" width="16" hidden="0" customWidth="1"/>
    <x:col min="4" max="4" width="52" hidden="0" customWidth="1"/>
    <x:col min="5" max="5" width="60" hidden="0" customWidth="1"/>
    <x:col min="6" max="6" width="20" hidden="0" customWidth="1"/>
  </x:cols>
  <x:sheetData>
    <x:row r="1" ht="32" customHeight="1">
      <x:c r="A1" s="5" t="str">
        <x:v>Roadmap Overview — Follow the Sequence, Adjust the Pace</x:v>
      </x:c>
      <x:c r="B1" s="5"/>
      <x:c r="C1" s="5"/>
      <x:c r="D1" s="5"/>
      <x:c r="E1" s="5"/>
      <x:c r="F1" s="5"/>
    </x:row>
    <x:row r="2" ht="30" customHeight="1">
      <x:c r="A2" s="13" t="str">
        <x:v>Start with fundamentals, then data access and OO, then integration and modern application models. Suggested weeks are approximate focus windows.</x:v>
      </x:c>
      <x:c r="B2" s="13"/>
      <x:c r="C2" s="13"/>
      <x:c r="D2" s="13"/>
      <x:c r="E2" s="13"/>
      <x:c r="F2" s="13"/>
    </x:row>
    <x:row r="4" ht="30" customHeight="1">
      <x:c r="A4" s="39" t="str">
        <x:v>Seq</x:v>
      </x:c>
      <x:c r="B4" s="39" t="str">
        <x:v>Phase</x:v>
      </x:c>
      <x:c r="C4" s="39" t="str">
        <x:v>Level</x:v>
      </x:c>
      <x:c r="D4" s="39" t="str">
        <x:v>Outcome</x:v>
      </x:c>
      <x:c r="E4" s="39" t="str">
        <x:v>Exit criteria / checkpoint</x:v>
      </x:c>
      <x:c r="F4" s="39" t="str">
        <x:v>Suggested focus</x:v>
      </x:c>
    </x:row>
    <x:row r="5" ht="52" customHeight="1">
      <x:c r="A5" s="44" t="str">
        <x:v>01</x:v>
      </x:c>
      <x:c r="B5" s="44" t="str">
        <x:v>00 | SAP &amp; Development Foundations</x:v>
      </x:c>
      <x:c r="C5" s="44" t="str">
        <x:v>Foundation</x:v>
      </x:c>
      <x:c r="D5" s="44" t="str">
        <x:v>Understand where ABAP runs, how SAP applications are organized, and how development moves across systems.</x:v>
      </x:c>
      <x:c r="E5" s="44" t="str">
        <x:v>Navigate the system confidently; explain client, system, package, repository object, request and transport basics.</x:v>
      </x:c>
      <x:c r="F5" s="44" t="str">
        <x:v>1 week</x:v>
      </x:c>
    </x:row>
    <x:row r="6" ht="52" customHeight="1">
      <x:c r="A6" s="44" t="str">
        <x:v>02</x:v>
      </x:c>
      <x:c r="B6" s="44" t="str">
        <x:v>01 | ABAP Language Fundamentals</x:v>
      </x:c>
      <x:c r="C6" s="44" t="str">
        <x:v>Foundation</x:v>
      </x:c>
      <x:c r="D6" s="44" t="str">
        <x:v>Read, write, activate, execute and explain small ABAP programs.</x:v>
      </x:c>
      <x:c r="E6" s="44" t="str">
        <x:v>Build a small report with typed variables, expressions, conditions, loops and meaningful output.</x:v>
      </x:c>
      <x:c r="F6" s="44" t="str">
        <x:v>2 weeks</x:v>
      </x:c>
    </x:row>
    <x:row r="7" ht="52" customHeight="1">
      <x:c r="A7" s="44" t="str">
        <x:v>03</x:v>
      </x:c>
      <x:c r="B7" s="44" t="str">
        <x:v>02 | Types, Data Objects &amp; Structures</x:v>
      </x:c>
      <x:c r="C7" s="44" t="str">
        <x:v>Foundation</x:v>
      </x:c>
      <x:c r="D7" s="44" t="str">
        <x:v>Choose appropriate data types and model data reliably.</x:v>
      </x:c>
      <x:c r="E7" s="44" t="str">
        <x:v>Define nested structures, table types, references and correctly typed API parameters.</x:v>
      </x:c>
      <x:c r="F7" s="44" t="str">
        <x:v>1-2 weeks</x:v>
      </x:c>
    </x:row>
    <x:row r="8" ht="52" customHeight="1">
      <x:c r="A8" s="44" t="str">
        <x:v>04</x:v>
      </x:c>
      <x:c r="B8" s="44" t="str">
        <x:v>03 | Modularization &amp; Program Structure</x:v>
      </x:c>
      <x:c r="C8" s="44" t="str">
        <x:v>Core</x:v>
      </x:c>
      <x:c r="D8" s="44" t="str">
        <x:v>Break procedural logic into reusable, readable units.</x:v>
      </x:c>
      <x:c r="E8" s="44" t="str">
        <x:v>Refactor a report into cohesive routines or methods and pass data correctly.</x:v>
      </x:c>
      <x:c r="F8" s="44" t="str">
        <x:v>1 week</x:v>
      </x:c>
    </x:row>
    <x:row r="9" ht="52" customHeight="1">
      <x:c r="A9" s="44" t="str">
        <x:v>05</x:v>
      </x:c>
      <x:c r="B9" s="44" t="str">
        <x:v>04 | Internal Tables</x:v>
      </x:c>
      <x:c r="C9" s="44" t="str">
        <x:v>Core</x:v>
      </x:c>
      <x:c r="D9" s="44" t="str">
        <x:v>Select the right internal-table category and work with collections efficiently.</x:v>
      </x:c>
      <x:c r="E9" s="44" t="str">
        <x:v>Implement nested-table transformations, keyed lookups and safe mutation during loops.</x:v>
      </x:c>
      <x:c r="F9" s="44" t="str">
        <x:v>2 weeks</x:v>
      </x:c>
    </x:row>
    <x:row r="10" ht="52" customHeight="1">
      <x:c r="A10" s="44" t="str">
        <x:v>06</x:v>
      </x:c>
      <x:c r="B10" s="44" t="str">
        <x:v>05 | ABAP SQL &amp; Database Access</x:v>
      </x:c>
      <x:c r="C10" s="44" t="str">
        <x:v>Core</x:v>
      </x:c>
      <x:c r="D10" s="44" t="str">
        <x:v>Read and write database data safely and efficiently.</x:v>
      </x:c>
      <x:c r="E10" s="44" t="str">
        <x:v>Write a multi-table query with filters, joins, aggregates and robust empty-result handling.</x:v>
      </x:c>
      <x:c r="F10" s="44" t="str">
        <x:v>2-3 weeks</x:v>
      </x:c>
    </x:row>
    <x:row r="11" ht="52" customHeight="1">
      <x:c r="A11" s="44" t="str">
        <x:v>07</x:v>
      </x:c>
      <x:c r="B11" s="44" t="str">
        <x:v>06 | ABAP Dictionary (DDIC) &amp; Data Modeling</x:v>
      </x:c>
      <x:c r="C11" s="44" t="str">
        <x:v>Core</x:v>
      </x:c>
      <x:c r="D11" s="44" t="str">
        <x:v>Model persistent data and reusable types in the ABAP Dictionary.</x:v>
      </x:c>
      <x:c r="E11" s="44" t="str">
        <x:v>Create a table with correct keys, domains, foreign keys, technical settings and search help.</x:v>
      </x:c>
      <x:c r="F11" s="44" t="str">
        <x:v>2 weeks</x:v>
      </x:c>
    </x:row>
    <x:row r="12" ht="52" customHeight="1">
      <x:c r="A12" s="44" t="str">
        <x:v>08</x:v>
      </x:c>
      <x:c r="B12" s="44" t="str">
        <x:v>07 | Reports &amp; Selection Screens</x:v>
      </x:c>
      <x:c r="C12" s="44" t="str">
        <x:v>Core</x:v>
      </x:c>
      <x:c r="D12" s="44" t="str">
        <x:v>Build maintainable executable reports with robust user input.</x:v>
      </x:c>
      <x:c r="E12" s="44" t="str">
        <x:v>Build a report with selection options, validation, F4 help, variants and clear messages.</x:v>
      </x:c>
      <x:c r="F12" s="44" t="str">
        <x:v>1-2 weeks</x:v>
      </x:c>
    </x:row>
    <x:row r="13" ht="52" customHeight="1">
      <x:c r="A13" s="44" t="str">
        <x:v>09</x:v>
      </x:c>
      <x:c r="B13" s="44" t="str">
        <x:v>08 | Classic ALV &amp; User Interaction</x:v>
      </x:c>
      <x:c r="C13" s="44" t="str">
        <x:v>Core</x:v>
      </x:c>
      <x:c r="D13" s="44" t="str">
        <x:v>Present data in interactive ALV output with consistent field metadata.</x:v>
      </x:c>
      <x:c r="E13" s="44" t="str">
        <x:v>Build a sortable/filterable ALV with hotspot or double-click action and correct totals.</x:v>
      </x:c>
      <x:c r="F13" s="44" t="str">
        <x:v>1-2 weeks</x:v>
      </x:c>
    </x:row>
    <x:row r="14" ht="52" customHeight="1">
      <x:c r="A14" s="44" t="str">
        <x:v>10</x:v>
      </x:c>
      <x:c r="B14" s="44" t="str">
        <x:v>09 | Object-Oriented ABAP</x:v>
      </x:c>
      <x:c r="C14" s="44" t="str">
        <x:v>Core</x:v>
      </x:c>
      <x:c r="D14" s="44" t="str">
        <x:v>Design reusable classes and interfaces rather than building all logic in reports.</x:v>
      </x:c>
      <x:c r="E14" s="44" t="str">
        <x:v>Build a small service class with interface, implementation, exceptions and testable dependencies.</x:v>
      </x:c>
      <x:c r="F14" s="44" t="str">
        <x:v>2-3 weeks</x:v>
      </x:c>
    </x:row>
    <x:row r="15" ht="52" customHeight="1">
      <x:c r="A15" s="44" t="str">
        <x:v>11</x:v>
      </x:c>
      <x:c r="B15" s="44" t="str">
        <x:v>10 | Modern ABAP Syntax</x:v>
      </x:c>
      <x:c r="C15" s="44" t="str">
        <x:v>Intermediate</x:v>
      </x:c>
      <x:c r="D15" s="44" t="str">
        <x:v>Write concise, type-safe modern ABAP while still understanding older code.</x:v>
      </x:c>
      <x:c r="E15" s="44" t="str">
        <x:v>Refactor legacy syntax to modern expressions without changing business behavior.</x:v>
      </x:c>
      <x:c r="F15" s="44" t="str">
        <x:v>2 weeks</x:v>
      </x:c>
    </x:row>
    <x:row r="16" ht="52" customHeight="1">
      <x:c r="A16" s="44" t="str">
        <x:v>12</x:v>
      </x:c>
      <x:c r="B16" s="44" t="str">
        <x:v>11 | Exceptions, Messages &amp; Application Logging</x:v>
      </x:c>
      <x:c r="C16" s="44" t="str">
        <x:v>Core</x:v>
      </x:c>
      <x:c r="D16" s="44" t="str">
        <x:v>Handle technical and business failures consistently.</x:v>
      </x:c>
      <x:c r="E16" s="44" t="str">
        <x:v>Return meaningful business messages, raise typed exceptions and log diagnosable failures.</x:v>
      </x:c>
      <x:c r="F16" s="44" t="str">
        <x:v>1 week</x:v>
      </x:c>
    </x:row>
    <x:row r="17" ht="52" customHeight="1">
      <x:c r="A17" s="44" t="str">
        <x:v>13</x:v>
      </x:c>
      <x:c r="B17" s="44" t="str">
        <x:v>12 | Debugging &amp; Development Tools</x:v>
      </x:c>
      <x:c r="C17" s="44" t="str">
        <x:v>Core</x:v>
      </x:c>
      <x:c r="D17" s="44" t="str">
        <x:v>Find root causes efficiently using standard SAP development tools.</x:v>
      </x:c>
      <x:c r="E17" s="44" t="str">
        <x:v>Reproduce an issue, isolate the failing line/data, explain root cause and validate a fix.</x:v>
      </x:c>
      <x:c r="F17" s="44" t="str">
        <x:v>1 week</x:v>
      </x:c>
    </x:row>
    <x:row r="18" ht="52" customHeight="1">
      <x:c r="A18" s="44" t="str">
        <x:v>14</x:v>
      </x:c>
      <x:c r="B18" s="44" t="str">
        <x:v>13 | Enhancements &amp; Extension Techniques</x:v>
      </x:c>
      <x:c r="C18" s="44" t="str">
        <x:v>Intermediate</x:v>
      </x:c>
      <x:c r="D18" s="44" t="str">
        <x:v>Extend SAP behavior without unnecessary modifications.</x:v>
      </x:c>
      <x:c r="E18" s="44" t="str">
        <x:v>Identify the appropriate enhancement point and implement a safe, transportable extension.</x:v>
      </x:c>
      <x:c r="F18" s="44" t="str">
        <x:v>1-2 weeks</x:v>
      </x:c>
    </x:row>
    <x:row r="19" ht="52" customHeight="1">
      <x:c r="A19" s="44" t="str">
        <x:v>15</x:v>
      </x:c>
      <x:c r="B19" s="44" t="str">
        <x:v>14 | Data Migration &amp; Batch Input</x:v>
      </x:c>
      <x:c r="C19" s="44" t="str">
        <x:v>Intermediate</x:v>
      </x:c>
      <x:c r="D19" s="44" t="str">
        <x:v>Load or transform data with validation, restartability and traceable errors.</x:v>
      </x:c>
      <x:c r="E19" s="44" t="str">
        <x:v>Design a controlled upload with validation, test mode, error log and repeatable processing.</x:v>
      </x:c>
      <x:c r="F19" s="44" t="str">
        <x:v>1 week</x:v>
      </x:c>
    </x:row>
    <x:row r="20" ht="52" customHeight="1">
      <x:c r="A20" s="44" t="str">
        <x:v>16</x:v>
      </x:c>
      <x:c r="B20" s="44" t="str">
        <x:v>15 | Function Modules, BAPIs &amp; RFC</x:v>
      </x:c>
      <x:c r="C20" s="44" t="str">
        <x:v>Intermediate</x:v>
      </x:c>
      <x:c r="D20" s="44" t="str">
        <x:v>Use SAP business APIs and remote calls with correct commit and error handling.</x:v>
      </x:c>
      <x:c r="E20" s="44" t="str">
        <x:v>Call a suitable BAPI, handle RETURN messages, commit/rollback appropriately and test failure cases.</x:v>
      </x:c>
      <x:c r="F20" s="44" t="str">
        <x:v>2 weeks</x:v>
      </x:c>
    </x:row>
    <x:row r="21" ht="52" customHeight="1">
      <x:c r="A21" s="44" t="str">
        <x:v>17</x:v>
      </x:c>
      <x:c r="B21" s="44" t="str">
        <x:v>16 | IDoc, ALE &amp; EDI</x:v>
      </x:c>
      <x:c r="C21" s="44" t="str">
        <x:v>Intermediate</x:v>
      </x:c>
      <x:c r="D21" s="44" t="str">
        <x:v>Understand asynchronous SAP integration and trace message flow end to end.</x:v>
      </x:c>
      <x:c r="E21" s="44" t="str">
        <x:v>Trace an IDoc from partner/profile configuration through status records and application processing.</x:v>
      </x:c>
      <x:c r="F21" s="44" t="str">
        <x:v>2 weeks</x:v>
      </x:c>
    </x:row>
    <x:row r="22" ht="52" customHeight="1">
      <x:c r="A22" s="44" t="str">
        <x:v>18</x:v>
      </x:c>
      <x:c r="B22" s="44" t="str">
        <x:v>17 | Forms, Spool &amp; Output Management</x:v>
      </x:c>
      <x:c r="C22" s="44" t="str">
        <x:v>Intermediate</x:v>
      </x:c>
      <x:c r="D22" s="44" t="str">
        <x:v>Generate business documents and understand how output is triggered.</x:v>
      </x:c>
      <x:c r="E22" s="44" t="str">
        <x:v>Trace a print/email output from application configuration to generated form and spool/output status.</x:v>
      </x:c>
      <x:c r="F22" s="44" t="str">
        <x:v>1-2 weeks</x:v>
      </x:c>
    </x:row>
    <x:row r="23" ht="52" customHeight="1">
      <x:c r="A23" s="44" t="str">
        <x:v>19</x:v>
      </x:c>
      <x:c r="B23" s="44" t="str">
        <x:v>18 | CDS Data Modeling</x:v>
      </x:c>
      <x:c r="C23" s="44" t="str">
        <x:v>Modern</x:v>
      </x:c>
      <x:c r="D23" s="44" t="str">
        <x:v>Build reusable semantic data models using ABAP CDS.</x:v>
      </x:c>
      <x:c r="E23" s="44" t="str">
        <x:v>Create a layered view entity with joins/associations, annotations and a suitable access-control concept.</x:v>
      </x:c>
      <x:c r="F23" s="44" t="str">
        <x:v>2-3 weeks</x:v>
      </x:c>
    </x:row>
    <x:row r="24" ht="52" customHeight="1">
      <x:c r="A24" s="44" t="str">
        <x:v>20</x:v>
      </x:c>
      <x:c r="B24" s="44" t="str">
        <x:v>19 | SAP HANA, AMDP &amp; Advanced SQL</x:v>
      </x:c>
      <x:c r="C24" s="44" t="str">
        <x:v>Advanced</x:v>
      </x:c>
      <x:c r="D24" s="44" t="str">
        <x:v>Understand database pushdown and investigate HANA-specific logic.</x:v>
      </x:c>
      <x:c r="E24" s="44" t="str">
        <x:v>Explain when to push work to SQL/CDS/AMDP and demonstrate measurable performance evidence.</x:v>
      </x:c>
      <x:c r="F24" s="44" t="str">
        <x:v>2 weeks</x:v>
      </x:c>
    </x:row>
    <x:row r="25" ht="52" customHeight="1">
      <x:c r="A25" s="44" t="str">
        <x:v>21</x:v>
      </x:c>
      <x:c r="B25" s="44" t="str">
        <x:v>20 | OData &amp; SAP Gateway</x:v>
      </x:c>
      <x:c r="C25" s="44" t="str">
        <x:v>Modern</x:v>
      </x:c>
      <x:c r="D25" s="44" t="str">
        <x:v>Expose and consume business data through OData services.</x:v>
      </x:c>
      <x:c r="E25" s="44" t="str">
        <x:v>Build or troubleshoot a CRUD OData service, including metadata, payload, error handling and authorization.</x:v>
      </x:c>
      <x:c r="F25" s="44" t="str">
        <x:v>2-3 weeks</x:v>
      </x:c>
    </x:row>
    <x:row r="26" ht="52" customHeight="1">
      <x:c r="A26" s="44" t="str">
        <x:v>22</x:v>
      </x:c>
      <x:c r="B26" s="44" t="str">
        <x:v>21 | SAPUI5, Fiori &amp; ABAP Integration</x:v>
      </x:c>
      <x:c r="C26" s="44" t="str">
        <x:v>Adjacent</x:v>
      </x:c>
      <x:c r="D26" s="44" t="str">
        <x:v>Understand how frontend requests map to OData and ABAP backend behavior.</x:v>
      </x:c>
      <x:c r="E26" s="44" t="str">
        <x:v>Build a small UI5 app connected to OData with validation, error handling and a maintainable MVC structure.</x:v>
      </x:c>
      <x:c r="F26" s="44" t="str">
        <x:v>3-4 weeks</x:v>
      </x:c>
    </x:row>
    <x:row r="27" ht="52" customHeight="1">
      <x:c r="A27" s="44" t="str">
        <x:v>23</x:v>
      </x:c>
      <x:c r="B27" s="44" t="str">
        <x:v>22 | RAP &amp; Modern ABAP Services</x:v>
      </x:c>
      <x:c r="C27" s="44" t="str">
        <x:v>Modern</x:v>
      </x:c>
      <x:c r="D27" s="44" t="str">
        <x:v>Build transactional business services using the ABAP RESTful Application Programming Model.</x:v>
      </x:c>
      <x:c r="E27" s="44" t="str">
        <x:v>Create a managed RAP BO and service, with validations, determinations, actions, authorization and tests.</x:v>
      </x:c>
      <x:c r="F27" s="44" t="str">
        <x:v>3-5 weeks</x:v>
      </x:c>
    </x:row>
    <x:row r="28" ht="52" customHeight="1">
      <x:c r="A28" s="44" t="str">
        <x:v>24</x:v>
      </x:c>
      <x:c r="B28" s="44" t="str">
        <x:v>23 | ABAP Cloud &amp; Clean Core</x:v>
      </x:c>
      <x:c r="C28" s="44" t="str">
        <x:v>Modern</x:v>
      </x:c>
      <x:c r="D28" s="44" t="str">
        <x:v>Write upgrade-stable extensions using released APIs and supported extension models.</x:v>
      </x:c>
      <x:c r="E28" s="44" t="str">
        <x:v>Explain allowed APIs, language versions and extension choices for a given S/4HANA requirement.</x:v>
      </x:c>
      <x:c r="F28" s="44" t="str">
        <x:v>2 weeks</x:v>
      </x:c>
    </x:row>
    <x:row r="29" ht="52" customHeight="1">
      <x:c r="A29" s="44" t="str">
        <x:v>25</x:v>
      </x:c>
      <x:c r="B29" s="44" t="str">
        <x:v>24 | S/4HANA &amp; Functional Data Context</x:v>
      </x:c>
      <x:c r="C29" s="44" t="str">
        <x:v>Core</x:v>
      </x:c>
      <x:c r="D29" s="44" t="str">
        <x:v>Recognize how business processes and S/4HANA data models affect ABAP development.</x:v>
      </x:c>
      <x:c r="E29" s="44" t="str">
        <x:v>Trace a real requirement from business process to correct released tables/views/APIs.</x:v>
      </x:c>
      <x:c r="F29" s="44" t="str">
        <x:v>1-2 weeks</x:v>
      </x:c>
    </x:row>
    <x:row r="30" ht="52" customHeight="1">
      <x:c r="A30" s="44" t="str">
        <x:v>26</x:v>
      </x:c>
      <x:c r="B30" s="44" t="str">
        <x:v>25 | Security &amp; Authorization</x:v>
      </x:c>
      <x:c r="C30" s="44" t="str">
        <x:v>Core</x:v>
      </x:c>
      <x:c r="D30" s="44" t="str">
        <x:v>Protect data and ensure only authorized users can execute operations.</x:v>
      </x:c>
      <x:c r="E30" s="44" t="str">
        <x:v>Apply backend authorization checks and verify data-access restrictions are enforced.</x:v>
      </x:c>
      <x:c r="F30" s="44" t="str">
        <x:v>1 week</x:v>
      </x:c>
    </x:row>
    <x:row r="31" ht="52" customHeight="1">
      <x:c r="A31" s="44" t="str">
        <x:v>27</x:v>
      </x:c>
      <x:c r="B31" s="44" t="str">
        <x:v>26 | LUWs, Locking, Update Tasks &amp; Jobs</x:v>
      </x:c>
      <x:c r="C31" s="44" t="str">
        <x:v>Intermediate</x:v>
      </x:c>
      <x:c r="D31" s="44" t="str">
        <x:v>Understand transactional consistency and safe asynchronous processing.</x:v>
      </x:c>
      <x:c r="E31" s="44" t="str">
        <x:v>Design a process that handles locks, commits, retries, job failures and partial errors correctly.</x:v>
      </x:c>
      <x:c r="F31" s="44" t="str">
        <x:v>1-2 weeks</x:v>
      </x:c>
    </x:row>
    <x:row r="32" ht="52" customHeight="1">
      <x:c r="A32" s="44" t="str">
        <x:v>28</x:v>
      </x:c>
      <x:c r="B32" s="44" t="str">
        <x:v>27 | Performance &amp; Scalability</x:v>
      </x:c>
      <x:c r="C32" s="44" t="str">
        <x:v>Advanced</x:v>
      </x:c>
      <x:c r="D32" s="44" t="str">
        <x:v>Diagnose bottlenecks using evidence and optimize without changing results.</x:v>
      </x:c>
      <x:c r="E32" s="44" t="str">
        <x:v>Measure baseline, isolate bottleneck, improve it and document before/after evidence.</x:v>
      </x:c>
      <x:c r="F32" s="44" t="str">
        <x:v>2 weeks</x:v>
      </x:c>
    </x:row>
    <x:row r="33" ht="52" customHeight="1">
      <x:c r="A33" s="44" t="str">
        <x:v>29</x:v>
      </x:c>
      <x:c r="B33" s="44" t="str">
        <x:v>28 | Testing &amp; Code Quality</x:v>
      </x:c>
      <x:c r="C33" s="44" t="str">
        <x:v>Core</x:v>
      </x:c>
      <x:c r="D33" s="44" t="str">
        <x:v>Prevent regressions with repeatable tests and static quality checks.</x:v>
      </x:c>
      <x:c r="E33" s="44" t="str">
        <x:v>Write ABAP Unit tests for business logic and fix findings from ATC/Code Inspector.</x:v>
      </x:c>
      <x:c r="F33" s="44" t="str">
        <x:v>2 weeks</x:v>
      </x:c>
    </x:row>
    <x:row r="34" ht="52" customHeight="1">
      <x:c r="A34" s="44" t="str">
        <x:v>30</x:v>
      </x:c>
      <x:c r="B34" s="44" t="str">
        <x:v>29 | Integration Architecture &amp; Modern Connectivity</x:v>
      </x:c>
      <x:c r="C34" s="44" t="str">
        <x:v>Advanced</x:v>
      </x:c>
      <x:c r="D34" s="44" t="str">
        <x:v>Select and troubleshoot integration patterns across SAP and external systems.</x:v>
      </x:c>
      <x:c r="E34" s="44" t="str">
        <x:v>Explain sync vs async patterns and trace one interface across sender, middleware, SAP and receiver.</x:v>
      </x:c>
      <x:c r="F34" s="44" t="str">
        <x:v>2-3 weeks</x:v>
      </x:c>
    </x:row>
    <x:row r="35" ht="52" customHeight="1">
      <x:c r="A35" s="44" t="str">
        <x:v>31</x:v>
      </x:c>
      <x:c r="B35" s="44" t="str">
        <x:v>30 | Transport, Git &amp; Delivery Practices</x:v>
      </x:c>
      <x:c r="C35" s="44" t="str">
        <x:v>Intermediate</x:v>
      </x:c>
      <x:c r="D35" s="44" t="str">
        <x:v>Deliver changes safely through version control, review and transport processes.</x:v>
      </x:c>
      <x:c r="E35" s="44" t="str">
        <x:v>Move a dependency-complete change through review, testing and transport with traceable evidence.</x:v>
      </x:c>
      <x:c r="F35" s="44" t="str">
        <x:v>1-2 weeks</x:v>
      </x:c>
    </x:row>
    <x:row r="36" ht="52" customHeight="1">
      <x:c r="A36" s="44" t="str">
        <x:v>32</x:v>
      </x:c>
      <x:c r="B36" s="44" t="str">
        <x:v>31 | Architecture, Patterns &amp; Senior-Level Habits</x:v>
      </x:c>
      <x:c r="C36" s="44" t="str">
        <x:v>Advanced</x:v>
      </x:c>
      <x:c r="D36" s="44" t="str">
        <x:v>Move from completing individual tasks to designing maintainable solutions end to end.</x:v>
      </x:c>
      <x:c r="E36" s="44" t="str">
        <x:v>Produce a design, explain alternatives, document risks and defend technical decisions.</x:v>
      </x:c>
      <x:c r="F36" s="44" t="str">
        <x:v>Ongoing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da415f1781ff4355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36" hidden="0" customWidth="1"/>
    <x:col min="3" max="3" width="32" hidden="0" customWidth="1"/>
    <x:col min="4" max="4" width="48" hidden="0" customWidth="1"/>
    <x:col min="5" max="5" width="66" hidden="0" customWidth="1"/>
    <x:col min="6" max="6" width="16" hidden="0" customWidth="1"/>
    <x:col min="7" max="7" width="11" hidden="0" customWidth="1"/>
    <x:col min="8" max="8" width="18" hidden="0" customWidth="1"/>
    <x:col min="9" max="9" width="16" hidden="0" customWidth="1"/>
    <x:col min="10" max="10" width="16" hidden="0" customWidth="1"/>
    <x:col min="11" max="11" width="38" hidden="0" customWidth="1"/>
    <x:col min="12" max="12" width="36" hidden="0" customWidth="1"/>
  </x:cols>
  <x:sheetData>
    <x:row r="1" ht="32" customHeight="1">
      <x:c r="A1" s="5" t="str">
        <x:v>Topic-by-Topic SAP ABAP Knowledge Tracker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0" customHeight="1">
      <x:c r="A2" s="13" t="str">
        <x:v>Filter by Phase, Level or Priority. Update Status, Confidence, Last Reviewed and Evidence/Notes as you review.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3" ht="30" customHeight="1">
      <x:c r="A3" s="51" t="str">
        <x:v>Mastery rule: Practiced means hands-on; Confident means you can explain + implement + debug independently. Verify release-dependent features in your target system.</x:v>
      </x:c>
      <x:c r="B3" s="51"/>
      <x:c r="C3" s="51"/>
      <x:c r="D3" s="51"/>
      <x:c r="E3" s="51"/>
      <x:c r="F3" s="51"/>
      <x:c r="G3" s="51"/>
      <x:c r="H3" s="51"/>
      <x:c r="I3" s="51"/>
      <x:c r="J3" s="51"/>
      <x:c r="K3" s="51"/>
      <x:c r="L3" s="51"/>
    </x:row>
    <x:row r="4" ht="36" customHeight="1">
      <x:c r="A4" s="57" t="str">
        <x:v>Topic ID</x:v>
      </x:c>
      <x:c r="B4" s="57" t="str">
        <x:v>Phase</x:v>
      </x:c>
      <x:c r="C4" s="57" t="str">
        <x:v>Domain / Area</x:v>
      </x:c>
      <x:c r="D4" s="57" t="str">
        <x:v>Topic</x:v>
      </x:c>
      <x:c r="E4" s="57" t="str">
        <x:v>Self-check / expected evidence</x:v>
      </x:c>
      <x:c r="F4" s="57" t="str">
        <x:v>Level</x:v>
      </x:c>
      <x:c r="G4" s="57" t="str">
        <x:v>Priority</x:v>
      </x:c>
      <x:c r="H4" s="57" t="str">
        <x:v>Status</x:v>
      </x:c>
      <x:c r="I4" s="57" t="str">
        <x:v>Confidence (1–5)</x:v>
      </x:c>
      <x:c r="J4" s="57" t="str">
        <x:v>Last Reviewed</x:v>
      </x:c>
      <x:c r="K4" s="57" t="str">
        <x:v>Evidence / Notes</x:v>
      </x:c>
      <x:c r="L4" s="57" t="str">
        <x:v>Suggested Resource</x:v>
      </x:c>
    </x:row>
    <x:row r="5" ht="40" customHeight="1">
      <x:c r="A5" s="62" t="str">
        <x:v>ABAP-001</x:v>
      </x:c>
      <x:c r="B5" s="62" t="str">
        <x:v>00 | SAP &amp; Development Foundations</x:v>
      </x:c>
      <x:c r="C5" s="62" t="str">
        <x:v>SAP &amp; Development Foundations</x:v>
      </x:c>
      <x:c r="D5" s="62" t="str">
        <x:v>SAP system architecture: presentation, application, database</x:v>
      </x:c>
      <x:c r="E5" s="62" t="str">
        <x:v>For “SAP system architecture: presentation, application, database”: explain its purpose and key rules, demonstrate a small example or trace, handle one common edge case/failure, and name a relevant best practice or trade-off.</x:v>
      </x:c>
      <x:c r="F5" s="62" t="str">
        <x:v>Foundation</x:v>
      </x:c>
      <x:c r="G5" s="62" t="str">
        <x:v>P1</x:v>
      </x:c>
      <x:c r="H5" s="62" t="str">
        <x:v>Not Started</x:v>
      </x:c>
      <x:c r="I5" s="62"/>
      <x:c r="J5" s="66"/>
      <x:c r="K5" s="62" t="str"/>
      <x:c r="L5" s="62" t="str">
        <x:v>Core ABAP learning journey (Resources)</x:v>
      </x:c>
    </x:row>
    <x:row r="6" ht="40" customHeight="1">
      <x:c r="A6" s="62" t="str">
        <x:v>ABAP-002</x:v>
      </x:c>
      <x:c r="B6" s="62" t="str">
        <x:v>00 | SAP &amp; Development Foundations</x:v>
      </x:c>
      <x:c r="C6" s="62" t="str">
        <x:v>SAP &amp; Development Foundations</x:v>
      </x:c>
      <x:c r="D6" s="62" t="str">
        <x:v>SAP GUI, SAP Logon, sessions and commands</x:v>
      </x:c>
      <x:c r="E6" s="62" t="str">
        <x:v>For “SAP GUI, SAP Logon, sessions and commands”: explain its purpose and key rules, demonstrate a small example or trace, handle one common edge case/failure, and name a relevant best practice or trade-off.</x:v>
      </x:c>
      <x:c r="F6" s="62" t="str">
        <x:v>Foundation</x:v>
      </x:c>
      <x:c r="G6" s="62" t="str">
        <x:v>P1</x:v>
      </x:c>
      <x:c r="H6" s="62" t="str">
        <x:v>Not Started</x:v>
      </x:c>
      <x:c r="I6" s="62"/>
      <x:c r="J6" s="66"/>
      <x:c r="K6" s="62" t="str"/>
      <x:c r="L6" s="62" t="str">
        <x:v>Core ABAP learning journey (Resources)</x:v>
      </x:c>
    </x:row>
    <x:row r="7" ht="40" customHeight="1">
      <x:c r="A7" s="62" t="str">
        <x:v>ABAP-003</x:v>
      </x:c>
      <x:c r="B7" s="62" t="str">
        <x:v>00 | SAP &amp; Development Foundations</x:v>
      </x:c>
      <x:c r="C7" s="62" t="str">
        <x:v>SAP &amp; Development Foundations</x:v>
      </x:c>
      <x:c r="D7" s="62" t="str">
        <x:v>SAP system/client/mandant and user concepts</x:v>
      </x:c>
      <x:c r="E7" s="62" t="str">
        <x:v>For “SAP system/client/mandant and user concepts”: explain its purpose and key rules, demonstrate a small example or trace, handle one common edge case/failure, and name a relevant best practice or trade-off.</x:v>
      </x:c>
      <x:c r="F7" s="62" t="str">
        <x:v>Foundation</x:v>
      </x:c>
      <x:c r="G7" s="62" t="str">
        <x:v>P1</x:v>
      </x:c>
      <x:c r="H7" s="62" t="str">
        <x:v>Not Started</x:v>
      </x:c>
      <x:c r="I7" s="62"/>
      <x:c r="J7" s="66"/>
      <x:c r="K7" s="62" t="str"/>
      <x:c r="L7" s="62" t="str">
        <x:v>Core ABAP learning journey (Resources)</x:v>
      </x:c>
    </x:row>
    <x:row r="8" ht="40" customHeight="1">
      <x:c r="A8" s="62" t="str">
        <x:v>ABAP-004</x:v>
      </x:c>
      <x:c r="B8" s="62" t="str">
        <x:v>00 | SAP &amp; Development Foundations</x:v>
      </x:c>
      <x:c r="C8" s="62" t="str">
        <x:v>SAP &amp; Development Foundations</x:v>
      </x:c>
      <x:c r="D8" s="62" t="str">
        <x:v>Development, Quality and Production landscapes</x:v>
      </x:c>
      <x:c r="E8" s="62" t="str">
        <x:v>For “Development, Quality and Production landscapes”: explain its purpose and key rules, demonstrate a small example or trace, handle one common edge case/failure, and name a relevant best practice or trade-off.</x:v>
      </x:c>
      <x:c r="F8" s="62" t="str">
        <x:v>Foundation</x:v>
      </x:c>
      <x:c r="G8" s="62" t="str">
        <x:v>P1</x:v>
      </x:c>
      <x:c r="H8" s="62" t="str">
        <x:v>Not Started</x:v>
      </x:c>
      <x:c r="I8" s="62"/>
      <x:c r="J8" s="66"/>
      <x:c r="K8" s="62" t="str"/>
      <x:c r="L8" s="62" t="str">
        <x:v>Core ABAP learning journey (Resources)</x:v>
      </x:c>
    </x:row>
    <x:row r="9" ht="40" customHeight="1">
      <x:c r="A9" s="62" t="str">
        <x:v>ABAP-005</x:v>
      </x:c>
      <x:c r="B9" s="62" t="str">
        <x:v>00 | SAP &amp; Development Foundations</x:v>
      </x:c>
      <x:c r="C9" s="62" t="str">
        <x:v>SAP &amp; Development Foundations</x:v>
      </x:c>
      <x:c r="D9" s="62" t="str">
        <x:v>ABAP workbench and repository objects</x:v>
      </x:c>
      <x:c r="E9" s="62" t="str">
        <x:v>For “ABAP workbench and repository objects”: explain its purpose and key rules, demonstrate a small example or trace, handle one common edge case/failure, and name a relevant best practice or trade-off.</x:v>
      </x:c>
      <x:c r="F9" s="62" t="str">
        <x:v>Foundation</x:v>
      </x:c>
      <x:c r="G9" s="62" t="str">
        <x:v>P1</x:v>
      </x:c>
      <x:c r="H9" s="62" t="str">
        <x:v>Not Started</x:v>
      </x:c>
      <x:c r="I9" s="62"/>
      <x:c r="J9" s="66"/>
      <x:c r="K9" s="62" t="str"/>
      <x:c r="L9" s="62" t="str">
        <x:v>Core ABAP learning journey (Resources)</x:v>
      </x:c>
    </x:row>
    <x:row r="10" ht="40" customHeight="1">
      <x:c r="A10" s="62" t="str">
        <x:v>ABAP-006</x:v>
      </x:c>
      <x:c r="B10" s="62" t="str">
        <x:v>00 | SAP &amp; Development Foundations</x:v>
      </x:c>
      <x:c r="C10" s="62" t="str">
        <x:v>SAP &amp; Development Foundations</x:v>
      </x:c>
      <x:c r="D10" s="62" t="str">
        <x:v>Packages, object directory and naming conventions</x:v>
      </x:c>
      <x:c r="E10" s="62" t="str">
        <x:v>For “Packages, object directory and naming conventions”: explain its purpose and key rules, demonstrate a small example or trace, handle one common edge case/failure, and name a relevant best practice or trade-off.</x:v>
      </x:c>
      <x:c r="F10" s="62" t="str">
        <x:v>Foundation</x:v>
      </x:c>
      <x:c r="G10" s="62" t="str">
        <x:v>P1</x:v>
      </x:c>
      <x:c r="H10" s="62" t="str">
        <x:v>Not Started</x:v>
      </x:c>
      <x:c r="I10" s="62"/>
      <x:c r="J10" s="66"/>
      <x:c r="K10" s="62" t="str"/>
      <x:c r="L10" s="62" t="str">
        <x:v>Core ABAP learning journey (Resources)</x:v>
      </x:c>
    </x:row>
    <x:row r="11" ht="40" customHeight="1">
      <x:c r="A11" s="62" t="str">
        <x:v>ABAP-007</x:v>
      </x:c>
      <x:c r="B11" s="62" t="str">
        <x:v>00 | SAP &amp; Development Foundations</x:v>
      </x:c>
      <x:c r="C11" s="62" t="str">
        <x:v>SAP &amp; Development Foundations</x:v>
      </x:c>
      <x:c r="D11" s="62" t="str">
        <x:v>Workbench vs Customizing transport requests</x:v>
      </x:c>
      <x:c r="E11" s="62" t="str">
        <x:v>For “Workbench vs Customizing transport requests”: explain its purpose and key rules, demonstrate a small example or trace, handle one common edge case/failure, and name a relevant best practice or trade-off.</x:v>
      </x:c>
      <x:c r="F11" s="62" t="str">
        <x:v>Foundation</x:v>
      </x:c>
      <x:c r="G11" s="62" t="str">
        <x:v>P1</x:v>
      </x:c>
      <x:c r="H11" s="62" t="str">
        <x:v>Not Started</x:v>
      </x:c>
      <x:c r="I11" s="62"/>
      <x:c r="J11" s="66"/>
      <x:c r="K11" s="62" t="str"/>
      <x:c r="L11" s="62" t="str">
        <x:v>Core ABAP learning journey (Resources)</x:v>
      </x:c>
    </x:row>
    <x:row r="12" ht="40" customHeight="1">
      <x:c r="A12" s="62" t="str">
        <x:v>ABAP-008</x:v>
      </x:c>
      <x:c r="B12" s="62" t="str">
        <x:v>00 | SAP &amp; Development Foundations</x:v>
      </x:c>
      <x:c r="C12" s="62" t="str">
        <x:v>SAP &amp; Development Foundations</x:v>
      </x:c>
      <x:c r="D12" s="62" t="str">
        <x:v>Transport of Copies, release and import concepts</x:v>
      </x:c>
      <x:c r="E12" s="62" t="str">
        <x:v>For “Transport of Copies, release and import concepts”: explain its purpose and key rules, demonstrate a small example or trace, handle one common edge case/failure, and name a relevant best practice or trade-off.</x:v>
      </x:c>
      <x:c r="F12" s="62" t="str">
        <x:v>Foundation</x:v>
      </x:c>
      <x:c r="G12" s="62" t="str">
        <x:v>P1</x:v>
      </x:c>
      <x:c r="H12" s="62" t="str">
        <x:v>Not Started</x:v>
      </x:c>
      <x:c r="I12" s="62"/>
      <x:c r="J12" s="66"/>
      <x:c r="K12" s="62" t="str"/>
      <x:c r="L12" s="62" t="str">
        <x:v>Core ABAP learning journey (Resources)</x:v>
      </x:c>
    </x:row>
    <x:row r="13" ht="40" customHeight="1">
      <x:c r="A13" s="62" t="str">
        <x:v>ABAP-009</x:v>
      </x:c>
      <x:c r="B13" s="62" t="str">
        <x:v>00 | SAP &amp; Development Foundations</x:v>
      </x:c>
      <x:c r="C13" s="62" t="str">
        <x:v>SAP &amp; Development Foundations</x:v>
      </x:c>
      <x:c r="D13" s="62" t="str">
        <x:v>Package interfaces and dependencies (conceptual)</x:v>
      </x:c>
      <x:c r="E13" s="62" t="str">
        <x:v>For “Package interfaces and dependencies (conceptual)”: explain its purpose and key rules, demonstrate a small example or trace, handle one common edge case/failure, and name a relevant best practice or trade-off.</x:v>
      </x:c>
      <x:c r="F13" s="62" t="str">
        <x:v>Foundation</x:v>
      </x:c>
      <x:c r="G13" s="62" t="str">
        <x:v>P2</x:v>
      </x:c>
      <x:c r="H13" s="62" t="str">
        <x:v>Not Started</x:v>
      </x:c>
      <x:c r="I13" s="62"/>
      <x:c r="J13" s="66"/>
      <x:c r="K13" s="62" t="str"/>
      <x:c r="L13" s="62" t="str">
        <x:v>Core ABAP learning journey (Resources)</x:v>
      </x:c>
    </x:row>
    <x:row r="14" ht="40" customHeight="1">
      <x:c r="A14" s="62" t="str">
        <x:v>ABAP-010</x:v>
      </x:c>
      <x:c r="B14" s="62" t="str">
        <x:v>00 | SAP &amp; Development Foundations</x:v>
      </x:c>
      <x:c r="C14" s="62" t="str">
        <x:v>SAP &amp; Development Foundations</x:v>
      </x:c>
      <x:c r="D14" s="62" t="str">
        <x:v>Application server, work process and database basics</x:v>
      </x:c>
      <x:c r="E14" s="62" t="str">
        <x:v>For “Application server, work process and database basics”: explain its purpose and key rules, demonstrate a small example or trace, handle one common edge case/failure, and name a relevant best practice or trade-off.</x:v>
      </x:c>
      <x:c r="F14" s="62" t="str">
        <x:v>Foundation</x:v>
      </x:c>
      <x:c r="G14" s="62" t="str">
        <x:v>P2</x:v>
      </x:c>
      <x:c r="H14" s="62" t="str">
        <x:v>Not Started</x:v>
      </x:c>
      <x:c r="I14" s="62"/>
      <x:c r="J14" s="66"/>
      <x:c r="K14" s="62" t="str"/>
      <x:c r="L14" s="62" t="str">
        <x:v>Core ABAP learning journey (Resources)</x:v>
      </x:c>
    </x:row>
    <x:row r="15" ht="40" customHeight="1">
      <x:c r="A15" s="62" t="str">
        <x:v>ABAP-011</x:v>
      </x:c>
      <x:c r="B15" s="62" t="str">
        <x:v>00 | SAP &amp; Development Foundations</x:v>
      </x:c>
      <x:c r="C15" s="62" t="str">
        <x:v>SAP &amp; Development Foundations</x:v>
      </x:c>
      <x:c r="D15" s="62" t="str">
        <x:v>SAP transaction codes and transaction variants</x:v>
      </x:c>
      <x:c r="E15" s="62" t="str">
        <x:v>For “SAP transaction codes and transaction variants”: explain its purpose and key rules, demonstrate a small example or trace, handle one common edge case/failure, and name a relevant best practice or trade-off.</x:v>
      </x:c>
      <x:c r="F15" s="62" t="str">
        <x:v>Foundation</x:v>
      </x:c>
      <x:c r="G15" s="62" t="str">
        <x:v>P2</x:v>
      </x:c>
      <x:c r="H15" s="62" t="str">
        <x:v>Not Started</x:v>
      </x:c>
      <x:c r="I15" s="62"/>
      <x:c r="J15" s="66"/>
      <x:c r="K15" s="62" t="str"/>
      <x:c r="L15" s="62" t="str">
        <x:v>Core ABAP learning journey (Resources)</x:v>
      </x:c>
    </x:row>
    <x:row r="16" ht="40" customHeight="1">
      <x:c r="A16" s="62" t="str">
        <x:v>ABAP-012</x:v>
      </x:c>
      <x:c r="B16" s="62" t="str">
        <x:v>00 | SAP &amp; Development Foundations</x:v>
      </x:c>
      <x:c r="C16" s="62" t="str">
        <x:v>SAP &amp; Development Foundations</x:v>
      </x:c>
      <x:c r="D16" s="62" t="str">
        <x:v>Client-dependent vs client-independent data</x:v>
      </x:c>
      <x:c r="E16" s="62" t="str">
        <x:v>For “Client-dependent vs client-independent data”: explain its purpose and key rules, demonstrate a small example or trace, handle one common edge case/failure, and name a relevant best practice or trade-off.</x:v>
      </x:c>
      <x:c r="F16" s="62" t="str">
        <x:v>Foundation</x:v>
      </x:c>
      <x:c r="G16" s="62" t="str">
        <x:v>P1</x:v>
      </x:c>
      <x:c r="H16" s="62" t="str">
        <x:v>Not Started</x:v>
      </x:c>
      <x:c r="I16" s="62"/>
      <x:c r="J16" s="66"/>
      <x:c r="K16" s="62" t="str"/>
      <x:c r="L16" s="62" t="str">
        <x:v>Core ABAP learning journey (Resources)</x:v>
      </x:c>
    </x:row>
    <x:row r="17" ht="40" customHeight="1">
      <x:c r="A17" s="62" t="str">
        <x:v>ABAP-013</x:v>
      </x:c>
      <x:c r="B17" s="62" t="str">
        <x:v>00 | SAP &amp; Development Foundations</x:v>
      </x:c>
      <x:c r="C17" s="62" t="str">
        <x:v>SAP &amp; Development Foundations</x:v>
      </x:c>
      <x:c r="D17" s="62" t="str">
        <x:v>Where to find SAP Help and ABAP Keyword Documentation</x:v>
      </x:c>
      <x:c r="E17" s="62" t="str">
        <x:v>For “Where to find SAP Help and ABAP Keyword Documentation”: explain its purpose and key rules, demonstrate a small example or trace, handle one common edge case/failure, and name a relevant best practice or trade-off.</x:v>
      </x:c>
      <x:c r="F17" s="62" t="str">
        <x:v>Foundation</x:v>
      </x:c>
      <x:c r="G17" s="62" t="str">
        <x:v>P1</x:v>
      </x:c>
      <x:c r="H17" s="62" t="str">
        <x:v>Not Started</x:v>
      </x:c>
      <x:c r="I17" s="62"/>
      <x:c r="J17" s="66"/>
      <x:c r="K17" s="62" t="str"/>
      <x:c r="L17" s="62" t="str">
        <x:v>Core ABAP learning journey (Resources)</x:v>
      </x:c>
    </x:row>
    <x:row r="18" ht="40" customHeight="1">
      <x:c r="A18" s="62" t="str">
        <x:v>ABAP-014</x:v>
      </x:c>
      <x:c r="B18" s="62" t="str">
        <x:v>01 | ABAP Language Fundamentals</x:v>
      </x:c>
      <x:c r="C18" s="62" t="str">
        <x:v>ABAP Language Fundamentals</x:v>
      </x:c>
      <x:c r="D18" s="62" t="str">
        <x:v>Program types: executable report, include, module pool, class pool</x:v>
      </x:c>
      <x:c r="E18" s="62" t="str">
        <x:v>For “Program types: executable report, include, module pool, class pool”: explain its purpose and key rules, demonstrate a small example or trace, handle one common edge case/failure, and name a relevant best practice or trade-off.</x:v>
      </x:c>
      <x:c r="F18" s="62" t="str">
        <x:v>Foundation</x:v>
      </x:c>
      <x:c r="G18" s="62" t="str">
        <x:v>P1</x:v>
      </x:c>
      <x:c r="H18" s="62" t="str">
        <x:v>Not Started</x:v>
      </x:c>
      <x:c r="I18" s="62"/>
      <x:c r="J18" s="66"/>
      <x:c r="K18" s="62" t="str"/>
      <x:c r="L18" s="62" t="str">
        <x:v>Core ABAP learning journey (Resources)</x:v>
      </x:c>
    </x:row>
    <x:row r="19" ht="40" customHeight="1">
      <x:c r="A19" s="62" t="str">
        <x:v>ABAP-015</x:v>
      </x:c>
      <x:c r="B19" s="62" t="str">
        <x:v>01 | ABAP Language Fundamentals</x:v>
      </x:c>
      <x:c r="C19" s="62" t="str">
        <x:v>ABAP Language Fundamentals</x:v>
      </x:c>
      <x:c r="D19" s="62" t="str">
        <x:v>ABAP source layout, comments and naming</x:v>
      </x:c>
      <x:c r="E19" s="62" t="str">
        <x:v>For “ABAP source layout, comments and naming”: explain its purpose and key rules, demonstrate a small example or trace, handle one common edge case/failure, and name a relevant best practice or trade-off.</x:v>
      </x:c>
      <x:c r="F19" s="62" t="str">
        <x:v>Foundation</x:v>
      </x:c>
      <x:c r="G19" s="62" t="str">
        <x:v>P1</x:v>
      </x:c>
      <x:c r="H19" s="62" t="str">
        <x:v>Not Started</x:v>
      </x:c>
      <x:c r="I19" s="62"/>
      <x:c r="J19" s="66"/>
      <x:c r="K19" s="62" t="str"/>
      <x:c r="L19" s="62" t="str">
        <x:v>Core ABAP learning journey (Resources)</x:v>
      </x:c>
    </x:row>
    <x:row r="20" ht="40" customHeight="1">
      <x:c r="A20" s="62" t="str">
        <x:v>ABAP-016</x:v>
      </x:c>
      <x:c r="B20" s="62" t="str">
        <x:v>01 | ABAP Language Fundamentals</x:v>
      </x:c>
      <x:c r="C20" s="62" t="str">
        <x:v>ABAP Language Fundamentals</x:v>
      </x:c>
      <x:c r="D20" s="62" t="str">
        <x:v>DATA, TYPES, CONSTANTS and inline declarations</x:v>
      </x:c>
      <x:c r="E20" s="62" t="str">
        <x:v>For “DATA, TYPES, CONSTANTS and inline declarations”: explain its purpose and key rules, demonstrate a small example or trace, handle one common edge case/failure, and name a relevant best practice or trade-off.</x:v>
      </x:c>
      <x:c r="F20" s="62" t="str">
        <x:v>Foundation</x:v>
      </x:c>
      <x:c r="G20" s="62" t="str">
        <x:v>P1</x:v>
      </x:c>
      <x:c r="H20" s="62" t="str">
        <x:v>Not Started</x:v>
      </x:c>
      <x:c r="I20" s="62"/>
      <x:c r="J20" s="66"/>
      <x:c r="K20" s="62" t="str"/>
      <x:c r="L20" s="62" t="str">
        <x:v>Core ABAP learning journey (Resources)</x:v>
      </x:c>
    </x:row>
    <x:row r="21" ht="40" customHeight="1">
      <x:c r="A21" s="62" t="str">
        <x:v>ABAP-017</x:v>
      </x:c>
      <x:c r="B21" s="62" t="str">
        <x:v>01 | ABAP Language Fundamentals</x:v>
      </x:c>
      <x:c r="C21" s="62" t="str">
        <x:v>ABAP Language Fundamentals</x:v>
      </x:c>
      <x:c r="D21" s="62" t="str">
        <x:v>Elementary types: C, N, D, T, X, I, INT8, P, F, DECFLOAT</x:v>
      </x:c>
      <x:c r="E21" s="62" t="str">
        <x:v>For “Elementary types: C, N, D, T, X, I, INT8, P, F, DECFLOAT”: explain its purpose and key rules, demonstrate a small example or trace, handle one common edge case/failure, and name a relevant best practice or trade-off.</x:v>
      </x:c>
      <x:c r="F21" s="62" t="str">
        <x:v>Foundation</x:v>
      </x:c>
      <x:c r="G21" s="62" t="str">
        <x:v>P1</x:v>
      </x:c>
      <x:c r="H21" s="62" t="str">
        <x:v>Not Started</x:v>
      </x:c>
      <x:c r="I21" s="62"/>
      <x:c r="J21" s="66"/>
      <x:c r="K21" s="62" t="str"/>
      <x:c r="L21" s="62" t="str">
        <x:v>Core ABAP learning journey (Resources)</x:v>
      </x:c>
    </x:row>
    <x:row r="22" ht="40" customHeight="1">
      <x:c r="A22" s="62" t="str">
        <x:v>ABAP-018</x:v>
      </x:c>
      <x:c r="B22" s="62" t="str">
        <x:v>01 | ABAP Language Fundamentals</x:v>
      </x:c>
      <x:c r="C22" s="62" t="str">
        <x:v>ABAP Language Fundamentals</x:v>
      </x:c>
      <x:c r="D22" s="62" t="str">
        <x:v>Character strings: string, csequence and string processing</x:v>
      </x:c>
      <x:c r="E22" s="62" t="str">
        <x:v>For “Character strings: string, csequence and string processing”: explain its purpose and key rules, demonstrate a small example or trace, handle one common edge case/failure, and name a relevant best practice or trade-off.</x:v>
      </x:c>
      <x:c r="F22" s="62" t="str">
        <x:v>Foundation</x:v>
      </x:c>
      <x:c r="G22" s="62" t="str">
        <x:v>P1</x:v>
      </x:c>
      <x:c r="H22" s="62" t="str">
        <x:v>Not Started</x:v>
      </x:c>
      <x:c r="I22" s="62"/>
      <x:c r="J22" s="66"/>
      <x:c r="K22" s="62" t="str"/>
      <x:c r="L22" s="62" t="str">
        <x:v>Core ABAP learning journey (Resources)</x:v>
      </x:c>
    </x:row>
    <x:row r="23" ht="40" customHeight="1">
      <x:c r="A23" s="62" t="str">
        <x:v>ABAP-019</x:v>
      </x:c>
      <x:c r="B23" s="62" t="str">
        <x:v>01 | ABAP Language Fundamentals</x:v>
      </x:c>
      <x:c r="C23" s="62" t="str">
        <x:v>ABAP Language Fundamentals</x:v>
      </x:c>
      <x:c r="D23" s="62" t="str">
        <x:v>Numeric calculations, packed numbers and rounding</x:v>
      </x:c>
      <x:c r="E23" s="62" t="str">
        <x:v>For “Numeric calculations, packed numbers and rounding”: explain its purpose and key rules, demonstrate a small example or trace, handle one common edge case/failure, and name a relevant best practice or trade-off.</x:v>
      </x:c>
      <x:c r="F23" s="62" t="str">
        <x:v>Foundation</x:v>
      </x:c>
      <x:c r="G23" s="62" t="str">
        <x:v>P1</x:v>
      </x:c>
      <x:c r="H23" s="62" t="str">
        <x:v>Not Started</x:v>
      </x:c>
      <x:c r="I23" s="62"/>
      <x:c r="J23" s="66"/>
      <x:c r="K23" s="62" t="str"/>
      <x:c r="L23" s="62" t="str">
        <x:v>Core ABAP learning journey (Resources)</x:v>
      </x:c>
    </x:row>
    <x:row r="24" ht="40" customHeight="1">
      <x:c r="A24" s="62" t="str">
        <x:v>ABAP-020</x:v>
      </x:c>
      <x:c r="B24" s="62" t="str">
        <x:v>01 | ABAP Language Fundamentals</x:v>
      </x:c>
      <x:c r="C24" s="62" t="str">
        <x:v>ABAP Language Fundamentals</x:v>
      </x:c>
      <x:c r="D24" s="62" t="str">
        <x:v>Date/time values and basic date arithmetic</x:v>
      </x:c>
      <x:c r="E24" s="62" t="str">
        <x:v>For “Date/time values and basic date arithmetic”: explain its purpose and key rules, demonstrate a small example or trace, handle one common edge case/failure, and name a relevant best practice or trade-off.</x:v>
      </x:c>
      <x:c r="F24" s="62" t="str">
        <x:v>Foundation</x:v>
      </x:c>
      <x:c r="G24" s="62" t="str">
        <x:v>P1</x:v>
      </x:c>
      <x:c r="H24" s="62" t="str">
        <x:v>Not Started</x:v>
      </x:c>
      <x:c r="I24" s="62"/>
      <x:c r="J24" s="66"/>
      <x:c r="K24" s="62" t="str"/>
      <x:c r="L24" s="62" t="str">
        <x:v>Core ABAP learning journey (Resources)</x:v>
      </x:c>
    </x:row>
    <x:row r="25" ht="40" customHeight="1">
      <x:c r="A25" s="62" t="str">
        <x:v>ABAP-021</x:v>
      </x:c>
      <x:c r="B25" s="62" t="str">
        <x:v>01 | ABAP Language Fundamentals</x:v>
      </x:c>
      <x:c r="C25" s="62" t="str">
        <x:v>ABAP Language Fundamentals</x:v>
      </x:c>
      <x:c r="D25" s="62" t="str">
        <x:v>Boolean logic and ABAP_TRUE/ABAP_FALSE conventions</x:v>
      </x:c>
      <x:c r="E25" s="62" t="str">
        <x:v>For “Boolean logic and ABAP_TRUE/ABAP_FALSE conventions”: explain its purpose and key rules, demonstrate a small example or trace, handle one common edge case/failure, and name a relevant best practice or trade-off.</x:v>
      </x:c>
      <x:c r="F25" s="62" t="str">
        <x:v>Foundation</x:v>
      </x:c>
      <x:c r="G25" s="62" t="str">
        <x:v>P1</x:v>
      </x:c>
      <x:c r="H25" s="62" t="str">
        <x:v>Not Started</x:v>
      </x:c>
      <x:c r="I25" s="62"/>
      <x:c r="J25" s="66"/>
      <x:c r="K25" s="62" t="str"/>
      <x:c r="L25" s="62" t="str">
        <x:v>Core ABAP learning journey (Resources)</x:v>
      </x:c>
    </x:row>
    <x:row r="26" ht="40" customHeight="1">
      <x:c r="A26" s="62" t="str">
        <x:v>ABAP-022</x:v>
      </x:c>
      <x:c r="B26" s="62" t="str">
        <x:v>01 | ABAP Language Fundamentals</x:v>
      </x:c>
      <x:c r="C26" s="62" t="str">
        <x:v>ABAP Language Fundamentals</x:v>
      </x:c>
      <x:c r="D26" s="62" t="str">
        <x:v>Comparison operators and logical expressions</x:v>
      </x:c>
      <x:c r="E26" s="62" t="str">
        <x:v>For “Comparison operators and logical expressions”: explain its purpose and key rules, demonstrate a small example or trace, handle one common edge case/failure, and name a relevant best practice or trade-off.</x:v>
      </x:c>
      <x:c r="F26" s="62" t="str">
        <x:v>Foundation</x:v>
      </x:c>
      <x:c r="G26" s="62" t="str">
        <x:v>P1</x:v>
      </x:c>
      <x:c r="H26" s="62" t="str">
        <x:v>Not Started</x:v>
      </x:c>
      <x:c r="I26" s="62"/>
      <x:c r="J26" s="66"/>
      <x:c r="K26" s="62" t="str"/>
      <x:c r="L26" s="62" t="str">
        <x:v>Core ABAP learning journey (Resources)</x:v>
      </x:c>
    </x:row>
    <x:row r="27" ht="40" customHeight="1">
      <x:c r="A27" s="62" t="str">
        <x:v>ABAP-023</x:v>
      </x:c>
      <x:c r="B27" s="62" t="str">
        <x:v>01 | ABAP Language Fundamentals</x:v>
      </x:c>
      <x:c r="C27" s="62" t="str">
        <x:v>ABAP Language Fundamentals</x:v>
      </x:c>
      <x:c r="D27" s="62" t="str">
        <x:v>IF / ELSEIF / ELSE / ENDIF</x:v>
      </x:c>
      <x:c r="E27" s="62" t="str">
        <x:v>For “IF / ELSEIF / ELSE / ENDIF”: explain its purpose and key rules, demonstrate a small example or trace, handle one common edge case/failure, and name a relevant best practice or trade-off.</x:v>
      </x:c>
      <x:c r="F27" s="62" t="str">
        <x:v>Foundation</x:v>
      </x:c>
      <x:c r="G27" s="62" t="str">
        <x:v>P1</x:v>
      </x:c>
      <x:c r="H27" s="62" t="str">
        <x:v>Not Started</x:v>
      </x:c>
      <x:c r="I27" s="62"/>
      <x:c r="J27" s="66"/>
      <x:c r="K27" s="62" t="str"/>
      <x:c r="L27" s="62" t="str">
        <x:v>Core ABAP learning journey (Resources)</x:v>
      </x:c>
    </x:row>
    <x:row r="28" ht="40" customHeight="1">
      <x:c r="A28" s="62" t="str">
        <x:v>ABAP-024</x:v>
      </x:c>
      <x:c r="B28" s="62" t="str">
        <x:v>01 | ABAP Language Fundamentals</x:v>
      </x:c>
      <x:c r="C28" s="62" t="str">
        <x:v>ABAP Language Fundamentals</x:v>
      </x:c>
      <x:c r="D28" s="62" t="str">
        <x:v>CASE / WHEN / ENDCASE</x:v>
      </x:c>
      <x:c r="E28" s="62" t="str">
        <x:v>For “CASE / WHEN / ENDCASE”: explain its purpose and key rules, demonstrate a small example or trace, handle one common edge case/failure, and name a relevant best practice or trade-off.</x:v>
      </x:c>
      <x:c r="F28" s="62" t="str">
        <x:v>Foundation</x:v>
      </x:c>
      <x:c r="G28" s="62" t="str">
        <x:v>P1</x:v>
      </x:c>
      <x:c r="H28" s="62" t="str">
        <x:v>Not Started</x:v>
      </x:c>
      <x:c r="I28" s="62"/>
      <x:c r="J28" s="66"/>
      <x:c r="K28" s="62" t="str"/>
      <x:c r="L28" s="62" t="str">
        <x:v>Core ABAP learning journey (Resources)</x:v>
      </x:c>
    </x:row>
    <x:row r="29" ht="40" customHeight="1">
      <x:c r="A29" s="62" t="str">
        <x:v>ABAP-025</x:v>
      </x:c>
      <x:c r="B29" s="62" t="str">
        <x:v>01 | ABAP Language Fundamentals</x:v>
      </x:c>
      <x:c r="C29" s="62" t="str">
        <x:v>ABAP Language Fundamentals</x:v>
      </x:c>
      <x:c r="D29" s="62" t="str">
        <x:v>DO / TIMES / ENDDO and EXIT / CONTINUE</x:v>
      </x:c>
      <x:c r="E29" s="62" t="str">
        <x:v>For “DO / TIMES / ENDDO and EXIT / CONTINUE”: explain its purpose and key rules, demonstrate a small example or trace, handle one common edge case/failure, and name a relevant best practice or trade-off.</x:v>
      </x:c>
      <x:c r="F29" s="62" t="str">
        <x:v>Foundation</x:v>
      </x:c>
      <x:c r="G29" s="62" t="str">
        <x:v>P1</x:v>
      </x:c>
      <x:c r="H29" s="62" t="str">
        <x:v>Not Started</x:v>
      </x:c>
      <x:c r="I29" s="62"/>
      <x:c r="J29" s="66"/>
      <x:c r="K29" s="62" t="str"/>
      <x:c r="L29" s="62" t="str">
        <x:v>Core ABAP learning journey (Resources)</x:v>
      </x:c>
    </x:row>
    <x:row r="30" ht="40" customHeight="1">
      <x:c r="A30" s="62" t="str">
        <x:v>ABAP-026</x:v>
      </x:c>
      <x:c r="B30" s="62" t="str">
        <x:v>01 | ABAP Language Fundamentals</x:v>
      </x:c>
      <x:c r="C30" s="62" t="str">
        <x:v>ABAP Language Fundamentals</x:v>
      </x:c>
      <x:c r="D30" s="62" t="str">
        <x:v>WHILE / ENDWHILE and loop termination</x:v>
      </x:c>
      <x:c r="E30" s="62" t="str">
        <x:v>For “WHILE / ENDWHILE and loop termination”: explain its purpose and key rules, demonstrate a small example or trace, handle one common edge case/failure, and name a relevant best practice or trade-off.</x:v>
      </x:c>
      <x:c r="F30" s="62" t="str">
        <x:v>Foundation</x:v>
      </x:c>
      <x:c r="G30" s="62" t="str">
        <x:v>P1</x:v>
      </x:c>
      <x:c r="H30" s="62" t="str">
        <x:v>Not Started</x:v>
      </x:c>
      <x:c r="I30" s="62"/>
      <x:c r="J30" s="66"/>
      <x:c r="K30" s="62" t="str"/>
      <x:c r="L30" s="62" t="str">
        <x:v>Core ABAP learning journey (Resources)</x:v>
      </x:c>
    </x:row>
    <x:row r="31" ht="40" customHeight="1">
      <x:c r="A31" s="62" t="str">
        <x:v>ABAP-027</x:v>
      </x:c>
      <x:c r="B31" s="62" t="str">
        <x:v>01 | ABAP Language Fundamentals</x:v>
      </x:c>
      <x:c r="C31" s="62" t="str">
        <x:v>ABAP Language Fundamentals</x:v>
      </x:c>
      <x:c r="D31" s="62" t="str">
        <x:v>CLEAR, FREE, REFRESH and initialization differences</x:v>
      </x:c>
      <x:c r="E31" s="62" t="str">
        <x:v>For “CLEAR, FREE, REFRESH and initialization differences”: explain its purpose and key rules, demonstrate a small example or trace, handle one common edge case/failure, and name a relevant best practice or trade-off.</x:v>
      </x:c>
      <x:c r="F31" s="62" t="str">
        <x:v>Foundation</x:v>
      </x:c>
      <x:c r="G31" s="62" t="str">
        <x:v>P1</x:v>
      </x:c>
      <x:c r="H31" s="62" t="str">
        <x:v>Not Started</x:v>
      </x:c>
      <x:c r="I31" s="62"/>
      <x:c r="J31" s="66"/>
      <x:c r="K31" s="62" t="str"/>
      <x:c r="L31" s="62" t="str">
        <x:v>Core ABAP learning journey (Resources)</x:v>
      </x:c>
    </x:row>
    <x:row r="32" ht="40" customHeight="1">
      <x:c r="A32" s="62" t="str">
        <x:v>ABAP-028</x:v>
      </x:c>
      <x:c r="B32" s="62" t="str">
        <x:v>01 | ABAP Language Fundamentals</x:v>
      </x:c>
      <x:c r="C32" s="62" t="str">
        <x:v>ABAP Language Fundamentals</x:v>
      </x:c>
      <x:c r="D32" s="62" t="str">
        <x:v>MOVE vs assignment operator and implicit conversion</x:v>
      </x:c>
      <x:c r="E32" s="62" t="str">
        <x:v>For “MOVE vs assignment operator and implicit conversion”: explain its purpose and key rules, demonstrate a small example or trace, handle one common edge case/failure, and name a relevant best practice or trade-off.</x:v>
      </x:c>
      <x:c r="F32" s="62" t="str">
        <x:v>Foundation</x:v>
      </x:c>
      <x:c r="G32" s="62" t="str">
        <x:v>P1</x:v>
      </x:c>
      <x:c r="H32" s="62" t="str">
        <x:v>Not Started</x:v>
      </x:c>
      <x:c r="I32" s="62"/>
      <x:c r="J32" s="66"/>
      <x:c r="K32" s="62" t="str"/>
      <x:c r="L32" s="62" t="str">
        <x:v>Core ABAP learning journey (Resources)</x:v>
      </x:c>
    </x:row>
    <x:row r="33" ht="40" customHeight="1">
      <x:c r="A33" s="62" t="str">
        <x:v>ABAP-029</x:v>
      </x:c>
      <x:c r="B33" s="62" t="str">
        <x:v>01 | ABAP Language Fundamentals</x:v>
      </x:c>
      <x:c r="C33" s="62" t="str">
        <x:v>ABAP Language Fundamentals</x:v>
      </x:c>
      <x:c r="D33" s="62" t="str">
        <x:v>WRITE, string templates and basic list output</x:v>
      </x:c>
      <x:c r="E33" s="62" t="str">
        <x:v>For “WRITE, string templates and basic list output”: explain its purpose and key rules, demonstrate a small example or trace, handle one common edge case/failure, and name a relevant best practice or trade-off.</x:v>
      </x:c>
      <x:c r="F33" s="62" t="str">
        <x:v>Foundation</x:v>
      </x:c>
      <x:c r="G33" s="62" t="str">
        <x:v>P1</x:v>
      </x:c>
      <x:c r="H33" s="62" t="str">
        <x:v>Not Started</x:v>
      </x:c>
      <x:c r="I33" s="62"/>
      <x:c r="J33" s="66"/>
      <x:c r="K33" s="62" t="str"/>
      <x:c r="L33" s="62" t="str">
        <x:v>Core ABAP learning journey (Resources)</x:v>
      </x:c>
    </x:row>
    <x:row r="34" ht="40" customHeight="1">
      <x:c r="A34" s="62" t="str">
        <x:v>ABAP-030</x:v>
      </x:c>
      <x:c r="B34" s="62" t="str">
        <x:v>01 | ABAP Language Fundamentals</x:v>
      </x:c>
      <x:c r="C34" s="62" t="str">
        <x:v>ABAP Language Fundamentals</x:v>
      </x:c>
      <x:c r="D34" s="62" t="str">
        <x:v>Comments, pragmas and pseudo-comments</x:v>
      </x:c>
      <x:c r="E34" s="62" t="str">
        <x:v>For “Comments, pragmas and pseudo-comments”: explain its purpose and key rules, demonstrate a small example or trace, handle one common edge case/failure, and name a relevant best practice or trade-off.</x:v>
      </x:c>
      <x:c r="F34" s="62" t="str">
        <x:v>Foundation</x:v>
      </x:c>
      <x:c r="G34" s="62" t="str">
        <x:v>P2</x:v>
      </x:c>
      <x:c r="H34" s="62" t="str">
        <x:v>Not Started</x:v>
      </x:c>
      <x:c r="I34" s="62"/>
      <x:c r="J34" s="66"/>
      <x:c r="K34" s="62" t="str"/>
      <x:c r="L34" s="62" t="str">
        <x:v>Core ABAP learning journey (Resources)</x:v>
      </x:c>
    </x:row>
    <x:row r="35" ht="40" customHeight="1">
      <x:c r="A35" s="62" t="str">
        <x:v>ABAP-031</x:v>
      </x:c>
      <x:c r="B35" s="62" t="str">
        <x:v>01 | ABAP Language Fundamentals</x:v>
      </x:c>
      <x:c r="C35" s="62" t="str">
        <x:v>ABAP Language Fundamentals</x:v>
      </x:c>
      <x:c r="D35" s="62" t="str">
        <x:v>System fields: sy-subrc, sy-tabix, sy-datum, sy-uzeit, sy-uname</x:v>
      </x:c>
      <x:c r="E35" s="62" t="str">
        <x:v>For “System fields: sy-subrc, sy-tabix, sy-datum, sy-uzeit, sy-uname”: explain its purpose and key rules, demonstrate a small example or trace, handle one common edge case/failure, and name a relevant best practice or trade-off.</x:v>
      </x:c>
      <x:c r="F35" s="62" t="str">
        <x:v>Foundation</x:v>
      </x:c>
      <x:c r="G35" s="62" t="str">
        <x:v>P1</x:v>
      </x:c>
      <x:c r="H35" s="62" t="str">
        <x:v>Not Started</x:v>
      </x:c>
      <x:c r="I35" s="62"/>
      <x:c r="J35" s="66"/>
      <x:c r="K35" s="62" t="str"/>
      <x:c r="L35" s="62" t="str">
        <x:v>Core ABAP learning journey (Resources)</x:v>
      </x:c>
    </x:row>
    <x:row r="36" ht="40" customHeight="1">
      <x:c r="A36" s="62" t="str">
        <x:v>ABAP-032</x:v>
      </x:c>
      <x:c r="B36" s="62" t="str">
        <x:v>01 | ABAP Language Fundamentals</x:v>
      </x:c>
      <x:c r="C36" s="62" t="str">
        <x:v>ABAP Language Fundamentals</x:v>
      </x:c>
      <x:c r="D36" s="62" t="str">
        <x:v>ABAP syntax check, activation and runtime execution</x:v>
      </x:c>
      <x:c r="E36" s="62" t="str">
        <x:v>For “ABAP syntax check, activation and runtime execution”: explain its purpose and key rules, demonstrate a small example or trace, handle one common edge case/failure, and name a relevant best practice or trade-off.</x:v>
      </x:c>
      <x:c r="F36" s="62" t="str">
        <x:v>Foundation</x:v>
      </x:c>
      <x:c r="G36" s="62" t="str">
        <x:v>P1</x:v>
      </x:c>
      <x:c r="H36" s="62" t="str">
        <x:v>Not Started</x:v>
      </x:c>
      <x:c r="I36" s="62"/>
      <x:c r="J36" s="66"/>
      <x:c r="K36" s="62" t="str"/>
      <x:c r="L36" s="62" t="str">
        <x:v>Core ABAP learning journey (Resources)</x:v>
      </x:c>
    </x:row>
    <x:row r="37" ht="40" customHeight="1">
      <x:c r="A37" s="62" t="str">
        <x:v>ABAP-033</x:v>
      </x:c>
      <x:c r="B37" s="62" t="str">
        <x:v>01 | ABAP Language Fundamentals</x:v>
      </x:c>
      <x:c r="C37" s="62" t="str">
        <x:v>ABAP Language Fundamentals</x:v>
      </x:c>
      <x:c r="D37" s="62" t="str">
        <x:v>Unicode and character/byte handling basics</x:v>
      </x:c>
      <x:c r="E37" s="62" t="str">
        <x:v>For “Unicode and character/byte handling basics”: explain its purpose and key rules, demonstrate a small example or trace, handle one common edge case/failure, and name a relevant best practice or trade-off.</x:v>
      </x:c>
      <x:c r="F37" s="62" t="str">
        <x:v>Foundation</x:v>
      </x:c>
      <x:c r="G37" s="62" t="str">
        <x:v>P2</x:v>
      </x:c>
      <x:c r="H37" s="62" t="str">
        <x:v>Not Started</x:v>
      </x:c>
      <x:c r="I37" s="62"/>
      <x:c r="J37" s="66"/>
      <x:c r="K37" s="62" t="str"/>
      <x:c r="L37" s="62" t="str">
        <x:v>Core ABAP learning journey (Resources)</x:v>
      </x:c>
    </x:row>
    <x:row r="38" ht="40" customHeight="1">
      <x:c r="A38" s="62" t="str">
        <x:v>ABAP-034</x:v>
      </x:c>
      <x:c r="B38" s="62" t="str">
        <x:v>02 | Types, Data Objects &amp; Structures</x:v>
      </x:c>
      <x:c r="C38" s="62" t="str">
        <x:v>Types, Data Objects &amp; Structures</x:v>
      </x:c>
      <x:c r="D38" s="62" t="str">
        <x:v>TYPE vs LIKE and type inference</x:v>
      </x:c>
      <x:c r="E38" s="62" t="str">
        <x:v>For “TYPE vs LIKE and type inference”: explain its purpose and key rules, demonstrate a small example or trace, handle one common edge case/failure, and name a relevant best practice or trade-off.</x:v>
      </x:c>
      <x:c r="F38" s="62" t="str">
        <x:v>Foundation</x:v>
      </x:c>
      <x:c r="G38" s="62" t="str">
        <x:v>P1</x:v>
      </x:c>
      <x:c r="H38" s="62" t="str">
        <x:v>Not Started</x:v>
      </x:c>
      <x:c r="I38" s="62"/>
      <x:c r="J38" s="66"/>
      <x:c r="K38" s="62" t="str"/>
      <x:c r="L38" s="62" t="str">
        <x:v>Core ABAP learning journey (Resources)</x:v>
      </x:c>
    </x:row>
    <x:row r="39" ht="40" customHeight="1">
      <x:c r="A39" s="62" t="str">
        <x:v>ABAP-035</x:v>
      </x:c>
      <x:c r="B39" s="62" t="str">
        <x:v>02 | Types, Data Objects &amp; Structures</x:v>
      </x:c>
      <x:c r="C39" s="62" t="str">
        <x:v>Types, Data Objects &amp; Structures</x:v>
      </x:c>
      <x:c r="D39" s="62" t="str">
        <x:v>Built-in types vs Dictionary-based types</x:v>
      </x:c>
      <x:c r="E39" s="62" t="str">
        <x:v>For “Built-in types vs Dictionary-based types”: explain its purpose and key rules, demonstrate a small example or trace, handle one common edge case/failure, and name a relevant best practice or trade-off.</x:v>
      </x:c>
      <x:c r="F39" s="62" t="str">
        <x:v>Foundation</x:v>
      </x:c>
      <x:c r="G39" s="62" t="str">
        <x:v>P1</x:v>
      </x:c>
      <x:c r="H39" s="62" t="str">
        <x:v>Not Started</x:v>
      </x:c>
      <x:c r="I39" s="62"/>
      <x:c r="J39" s="66"/>
      <x:c r="K39" s="62" t="str"/>
      <x:c r="L39" s="62" t="str">
        <x:v>Core ABAP learning journey (Resources)</x:v>
      </x:c>
    </x:row>
    <x:row r="40" ht="40" customHeight="1">
      <x:c r="A40" s="62" t="str">
        <x:v>ABAP-036</x:v>
      </x:c>
      <x:c r="B40" s="62" t="str">
        <x:v>02 | Types, Data Objects &amp; Structures</x:v>
      </x:c>
      <x:c r="C40" s="62" t="str">
        <x:v>Types, Data Objects &amp; Structures</x:v>
      </x:c>
      <x:c r="D40" s="62" t="str">
        <x:v>Structures and nested structures</x:v>
      </x:c>
      <x:c r="E40" s="62" t="str">
        <x:v>For “Structures and nested structures”: explain its purpose and key rules, demonstrate a small example or trace, handle one common edge case/failure, and name a relevant best practice or trade-off.</x:v>
      </x:c>
      <x:c r="F40" s="62" t="str">
        <x:v>Foundation</x:v>
      </x:c>
      <x:c r="G40" s="62" t="str">
        <x:v>P1</x:v>
      </x:c>
      <x:c r="H40" s="62" t="str">
        <x:v>Not Started</x:v>
      </x:c>
      <x:c r="I40" s="62"/>
      <x:c r="J40" s="66"/>
      <x:c r="K40" s="62" t="str"/>
      <x:c r="L40" s="62" t="str">
        <x:v>Core ABAP learning journey (Resources)</x:v>
      </x:c>
    </x:row>
    <x:row r="41" ht="40" customHeight="1">
      <x:c r="A41" s="62" t="str">
        <x:v>ABAP-037</x:v>
      </x:c>
      <x:c r="B41" s="62" t="str">
        <x:v>02 | Types, Data Objects &amp; Structures</x:v>
      </x:c>
      <x:c r="C41" s="62" t="str">
        <x:v>Types, Data Objects &amp; Structures</x:v>
      </x:c>
      <x:c r="D41" s="62" t="str">
        <x:v>Flat vs deep structures</x:v>
      </x:c>
      <x:c r="E41" s="62" t="str">
        <x:v>For “Flat vs deep structures”: explain its purpose and key rules, demonstrate a small example or trace, handle one common edge case/failure, and name a relevant best practice or trade-off.</x:v>
      </x:c>
      <x:c r="F41" s="62" t="str">
        <x:v>Foundation</x:v>
      </x:c>
      <x:c r="G41" s="62" t="str">
        <x:v>P1</x:v>
      </x:c>
      <x:c r="H41" s="62" t="str">
        <x:v>Not Started</x:v>
      </x:c>
      <x:c r="I41" s="62"/>
      <x:c r="J41" s="66"/>
      <x:c r="K41" s="62" t="str"/>
      <x:c r="L41" s="62" t="str">
        <x:v>Core ABAP learning journey (Resources)</x:v>
      </x:c>
    </x:row>
    <x:row r="42" ht="40" customHeight="1">
      <x:c r="A42" s="62" t="str">
        <x:v>ABAP-038</x:v>
      </x:c>
      <x:c r="B42" s="62" t="str">
        <x:v>02 | Types, Data Objects &amp; Structures</x:v>
      </x:c>
      <x:c r="C42" s="62" t="str">
        <x:v>Types, Data Objects &amp; Structures</x:v>
      </x:c>
      <x:c r="D42" s="62" t="str">
        <x:v>Include structures and appending structures</x:v>
      </x:c>
      <x:c r="E42" s="62" t="str">
        <x:v>For “Include structures and appending structures”: explain its purpose and key rules, demonstrate a small example or trace, handle one common edge case/failure, and name a relevant best practice or trade-off.</x:v>
      </x:c>
      <x:c r="F42" s="62" t="str">
        <x:v>Foundation</x:v>
      </x:c>
      <x:c r="G42" s="62" t="str">
        <x:v>P1</x:v>
      </x:c>
      <x:c r="H42" s="62" t="str">
        <x:v>Not Started</x:v>
      </x:c>
      <x:c r="I42" s="62"/>
      <x:c r="J42" s="66"/>
      <x:c r="K42" s="62" t="str"/>
      <x:c r="L42" s="62" t="str">
        <x:v>Core ABAP learning journey (Resources)</x:v>
      </x:c>
    </x:row>
    <x:row r="43" ht="40" customHeight="1">
      <x:c r="A43" s="62" t="str">
        <x:v>ABAP-039</x:v>
      </x:c>
      <x:c r="B43" s="62" t="str">
        <x:v>02 | Types, Data Objects &amp; Structures</x:v>
      </x:c>
      <x:c r="C43" s="62" t="str">
        <x:v>Types, Data Objects &amp; Structures</x:v>
      </x:c>
      <x:c r="D43" s="62" t="str">
        <x:v>Field symbols: FIELD-SYMBOLS and ASSIGN</x:v>
      </x:c>
      <x:c r="E43" s="62" t="str">
        <x:v>For “Field symbols: FIELD-SYMBOLS and ASSIGN”: explain its purpose and key rules, demonstrate a small example or trace, handle one common edge case/failure, and name a relevant best practice or trade-off.</x:v>
      </x:c>
      <x:c r="F43" s="62" t="str">
        <x:v>Foundation</x:v>
      </x:c>
      <x:c r="G43" s="62" t="str">
        <x:v>P1</x:v>
      </x:c>
      <x:c r="H43" s="62" t="str">
        <x:v>Not Started</x:v>
      </x:c>
      <x:c r="I43" s="62"/>
      <x:c r="J43" s="66"/>
      <x:c r="K43" s="62" t="str"/>
      <x:c r="L43" s="62" t="str">
        <x:v>Core ABAP learning journey (Resources)</x:v>
      </x:c>
    </x:row>
    <x:row r="44" ht="40" customHeight="1">
      <x:c r="A44" s="62" t="str">
        <x:v>ABAP-040</x:v>
      </x:c>
      <x:c r="B44" s="62" t="str">
        <x:v>02 | Types, Data Objects &amp; Structures</x:v>
      </x:c>
      <x:c r="C44" s="62" t="str">
        <x:v>Types, Data Objects &amp; Structures</x:v>
      </x:c>
      <x:c r="D44" s="62" t="str">
        <x:v>Data references: REF TO data and dereferencing</x:v>
      </x:c>
      <x:c r="E44" s="62" t="str">
        <x:v>For “Data references: REF TO data and dereferencing”: explain its purpose and key rules, demonstrate a small example or trace, handle one common edge case/failure, and name a relevant best practice or trade-off.</x:v>
      </x:c>
      <x:c r="F44" s="62" t="str">
        <x:v>Foundation</x:v>
      </x:c>
      <x:c r="G44" s="62" t="str">
        <x:v>P2</x:v>
      </x:c>
      <x:c r="H44" s="62" t="str">
        <x:v>Not Started</x:v>
      </x:c>
      <x:c r="I44" s="62"/>
      <x:c r="J44" s="66"/>
      <x:c r="K44" s="62" t="str"/>
      <x:c r="L44" s="62" t="str">
        <x:v>Core ABAP learning journey (Resources)</x:v>
      </x:c>
    </x:row>
    <x:row r="45" ht="40" customHeight="1">
      <x:c r="A45" s="62" t="str">
        <x:v>ABAP-041</x:v>
      </x:c>
      <x:c r="B45" s="62" t="str">
        <x:v>02 | Types, Data Objects &amp; Structures</x:v>
      </x:c>
      <x:c r="C45" s="62" t="str">
        <x:v>Types, Data Objects &amp; Structures</x:v>
      </x:c>
      <x:c r="D45" s="62" t="str">
        <x:v>Object references: REF TO class/interface</x:v>
      </x:c>
      <x:c r="E45" s="62" t="str">
        <x:v>For “Object references: REF TO class/interface”: explain its purpose and key rules, demonstrate a small example or trace, handle one common edge case/failure, and name a relevant best practice or trade-off.</x:v>
      </x:c>
      <x:c r="F45" s="62" t="str">
        <x:v>Foundation</x:v>
      </x:c>
      <x:c r="G45" s="62" t="str">
        <x:v>P2</x:v>
      </x:c>
      <x:c r="H45" s="62" t="str">
        <x:v>Not Started</x:v>
      </x:c>
      <x:c r="I45" s="62"/>
      <x:c r="J45" s="66"/>
      <x:c r="K45" s="62" t="str"/>
      <x:c r="L45" s="62" t="str">
        <x:v>Core ABAP learning journey (Resources)</x:v>
      </x:c>
    </x:row>
    <x:row r="46" ht="40" customHeight="1">
      <x:c r="A46" s="62" t="str">
        <x:v>ABAP-042</x:v>
      </x:c>
      <x:c r="B46" s="62" t="str">
        <x:v>02 | Types, Data Objects &amp; Structures</x:v>
      </x:c>
      <x:c r="C46" s="62" t="str">
        <x:v>Types, Data Objects &amp; Structures</x:v>
      </x:c>
      <x:c r="D46" s="62" t="str">
        <x:v>Generic types: any, data, csequence, clike, numeric</x:v>
      </x:c>
      <x:c r="E46" s="62" t="str">
        <x:v>For “Generic types: any, data, csequence, clike, numeric”: explain its purpose and key rules, demonstrate a small example or trace, handle one common edge case/failure, and name a relevant best practice or trade-off.</x:v>
      </x:c>
      <x:c r="F46" s="62" t="str">
        <x:v>Foundation</x:v>
      </x:c>
      <x:c r="G46" s="62" t="str">
        <x:v>P2</x:v>
      </x:c>
      <x:c r="H46" s="62" t="str">
        <x:v>Not Started</x:v>
      </x:c>
      <x:c r="I46" s="62"/>
      <x:c r="J46" s="66"/>
      <x:c r="K46" s="62" t="str"/>
      <x:c r="L46" s="62" t="str">
        <x:v>Core ABAP learning journey (Resources)</x:v>
      </x:c>
    </x:row>
    <x:row r="47" ht="40" customHeight="1">
      <x:c r="A47" s="62" t="str">
        <x:v>ABAP-043</x:v>
      </x:c>
      <x:c r="B47" s="62" t="str">
        <x:v>02 | Types, Data Objects &amp; Structures</x:v>
      </x:c>
      <x:c r="C47" s="62" t="str">
        <x:v>Types, Data Objects &amp; Structures</x:v>
      </x:c>
      <x:c r="D47" s="62" t="str">
        <x:v>TYPE RANGE OF and selection/range tables</x:v>
      </x:c>
      <x:c r="E47" s="62" t="str">
        <x:v>For “TYPE RANGE OF and selection/range tables”: explain its purpose and key rules, demonstrate a small example or trace, handle one common edge case/failure, and name a relevant best practice or trade-off.</x:v>
      </x:c>
      <x:c r="F47" s="62" t="str">
        <x:v>Foundation</x:v>
      </x:c>
      <x:c r="G47" s="62" t="str">
        <x:v>P1</x:v>
      </x:c>
      <x:c r="H47" s="62" t="str">
        <x:v>Not Started</x:v>
      </x:c>
      <x:c r="I47" s="62"/>
      <x:c r="J47" s="66"/>
      <x:c r="K47" s="62" t="str"/>
      <x:c r="L47" s="62" t="str">
        <x:v>Core ABAP learning journey (Resources)</x:v>
      </x:c>
    </x:row>
    <x:row r="48" ht="40" customHeight="1">
      <x:c r="A48" s="62" t="str">
        <x:v>ABAP-044</x:v>
      </x:c>
      <x:c r="B48" s="62" t="str">
        <x:v>02 | Types, Data Objects &amp; Structures</x:v>
      </x:c>
      <x:c r="C48" s="62" t="str">
        <x:v>Types, Data Objects &amp; Structures</x:v>
      </x:c>
      <x:c r="D48" s="62" t="str">
        <x:v>Constants, enumerations and fixed values</x:v>
      </x:c>
      <x:c r="E48" s="62" t="str">
        <x:v>For “Constants, enumerations and fixed values”: explain its purpose and key rules, demonstrate a small example or trace, handle one common edge case/failure, and name a relevant best practice or trade-off.</x:v>
      </x:c>
      <x:c r="F48" s="62" t="str">
        <x:v>Foundation</x:v>
      </x:c>
      <x:c r="G48" s="62" t="str">
        <x:v>P2</x:v>
      </x:c>
      <x:c r="H48" s="62" t="str">
        <x:v>Not Started</x:v>
      </x:c>
      <x:c r="I48" s="62"/>
      <x:c r="J48" s="66"/>
      <x:c r="K48" s="62" t="str"/>
      <x:c r="L48" s="62" t="str">
        <x:v>Core ABAP learning journey (Resources)</x:v>
      </x:c>
    </x:row>
    <x:row r="49" ht="40" customHeight="1">
      <x:c r="A49" s="62" t="str">
        <x:v>ABAP-045</x:v>
      </x:c>
      <x:c r="B49" s="62" t="str">
        <x:v>02 | Types, Data Objects &amp; Structures</x:v>
      </x:c>
      <x:c r="C49" s="62" t="str">
        <x:v>Types, Data Objects &amp; Structures</x:v>
      </x:c>
      <x:c r="D49" s="62" t="str">
        <x:v>Initial values and IS INITIAL</x:v>
      </x:c>
      <x:c r="E49" s="62" t="str">
        <x:v>For “Initial values and IS INITIAL”: explain its purpose and key rules, demonstrate a small example or trace, handle one common edge case/failure, and name a relevant best practice or trade-off.</x:v>
      </x:c>
      <x:c r="F49" s="62" t="str">
        <x:v>Foundation</x:v>
      </x:c>
      <x:c r="G49" s="62" t="str">
        <x:v>P1</x:v>
      </x:c>
      <x:c r="H49" s="62" t="str">
        <x:v>Not Started</x:v>
      </x:c>
      <x:c r="I49" s="62"/>
      <x:c r="J49" s="66"/>
      <x:c r="K49" s="62" t="str"/>
      <x:c r="L49" s="62" t="str">
        <x:v>Core ABAP learning journey (Resources)</x:v>
      </x:c>
    </x:row>
    <x:row r="50" ht="40" customHeight="1">
      <x:c r="A50" s="62" t="str">
        <x:v>ABAP-046</x:v>
      </x:c>
      <x:c r="B50" s="62" t="str">
        <x:v>02 | Types, Data Objects &amp; Structures</x:v>
      </x:c>
      <x:c r="C50" s="62" t="str">
        <x:v>Types, Data Objects &amp; Structures</x:v>
      </x:c>
      <x:c r="D50" s="62" t="str">
        <x:v>Conversion, casting and type compatibility</x:v>
      </x:c>
      <x:c r="E50" s="62" t="str">
        <x:v>For “Conversion, casting and type compatibility”: explain its purpose and key rules, demonstrate a small example or trace, handle one common edge case/failure, and name a relevant best practice or trade-off.</x:v>
      </x:c>
      <x:c r="F50" s="62" t="str">
        <x:v>Foundation</x:v>
      </x:c>
      <x:c r="G50" s="62" t="str">
        <x:v>P1</x:v>
      </x:c>
      <x:c r="H50" s="62" t="str">
        <x:v>Not Started</x:v>
      </x:c>
      <x:c r="I50" s="62"/>
      <x:c r="J50" s="66"/>
      <x:c r="K50" s="62" t="str"/>
      <x:c r="L50" s="62" t="str">
        <x:v>Core ABAP learning journey (Resources)</x:v>
      </x:c>
    </x:row>
    <x:row r="51" ht="40" customHeight="1">
      <x:c r="A51" s="62" t="str">
        <x:v>ABAP-047</x:v>
      </x:c>
      <x:c r="B51" s="62" t="str">
        <x:v>02 | Types, Data Objects &amp; Structures</x:v>
      </x:c>
      <x:c r="C51" s="62" t="str">
        <x:v>Types, Data Objects &amp; Structures</x:v>
      </x:c>
      <x:c r="D51" s="62" t="str">
        <x:v>Currency and quantity types with reference fields</x:v>
      </x:c>
      <x:c r="E51" s="62" t="str">
        <x:v>For “Currency and quantity types with reference fields”: explain its purpose and key rules, demonstrate a small example or trace, handle one common edge case/failure, and name a relevant best practice or trade-off.</x:v>
      </x:c>
      <x:c r="F51" s="62" t="str">
        <x:v>Foundation</x:v>
      </x:c>
      <x:c r="G51" s="62" t="str">
        <x:v>P1</x:v>
      </x:c>
      <x:c r="H51" s="62" t="str">
        <x:v>Not Started</x:v>
      </x:c>
      <x:c r="I51" s="62"/>
      <x:c r="J51" s="66"/>
      <x:c r="K51" s="62" t="str"/>
      <x:c r="L51" s="62" t="str">
        <x:v>Core ABAP learning journey (Resources)</x:v>
      </x:c>
    </x:row>
    <x:row r="52" ht="40" customHeight="1">
      <x:c r="A52" s="62" t="str">
        <x:v>ABAP-048</x:v>
      </x:c>
      <x:c r="B52" s="62" t="str">
        <x:v>02 | Types, Data Objects &amp; Structures</x:v>
      </x:c>
      <x:c r="C52" s="62" t="str">
        <x:v>Types, Data Objects &amp; Structures</x:v>
      </x:c>
      <x:c r="D52" s="62" t="str">
        <x:v>Timestamp types and UTC/local time considerations</x:v>
      </x:c>
      <x:c r="E52" s="62" t="str">
        <x:v>For “Timestamp types and UTC/local time considerations”: explain its purpose and key rules, demonstrate a small example or trace, handle one common edge case/failure, and name a relevant best practice or trade-off.</x:v>
      </x:c>
      <x:c r="F52" s="62" t="str">
        <x:v>Foundation</x:v>
      </x:c>
      <x:c r="G52" s="62" t="str">
        <x:v>P2</x:v>
      </x:c>
      <x:c r="H52" s="62" t="str">
        <x:v>Not Started</x:v>
      </x:c>
      <x:c r="I52" s="62"/>
      <x:c r="J52" s="66"/>
      <x:c r="K52" s="62" t="str"/>
      <x:c r="L52" s="62" t="str">
        <x:v>Core ABAP learning journey (Resources)</x:v>
      </x:c>
    </x:row>
    <x:row r="53" ht="40" customHeight="1">
      <x:c r="A53" s="62" t="str">
        <x:v>ABAP-049</x:v>
      </x:c>
      <x:c r="B53" s="62" t="str">
        <x:v>03 | Modularization &amp; Program Structure</x:v>
      </x:c>
      <x:c r="C53" s="62" t="str">
        <x:v>Modularization &amp; Program Structure</x:v>
      </x:c>
      <x:c r="D53" s="62" t="str">
        <x:v>FORM / PERFORM routines and USING/CHANGING/TABLES</x:v>
      </x:c>
      <x:c r="E53" s="62" t="str">
        <x:v>For “FORM / PERFORM routines and USING/CHANGING/TABLES”: explain its purpose and key rules, demonstrate a small example or trace, handle one common edge case/failure, and name a relevant best practice or trade-off.</x:v>
      </x:c>
      <x:c r="F53" s="62" t="str">
        <x:v>Core</x:v>
      </x:c>
      <x:c r="G53" s="62" t="str">
        <x:v>P1</x:v>
      </x:c>
      <x:c r="H53" s="62" t="str">
        <x:v>Not Started</x:v>
      </x:c>
      <x:c r="I53" s="62"/>
      <x:c r="J53" s="66"/>
      <x:c r="K53" s="62" t="str"/>
      <x:c r="L53" s="62" t="str">
        <x:v>Core ABAP learning journey (Resources)</x:v>
      </x:c>
    </x:row>
    <x:row r="54" ht="40" customHeight="1">
      <x:c r="A54" s="62" t="str">
        <x:v>ABAP-050</x:v>
      </x:c>
      <x:c r="B54" s="62" t="str">
        <x:v>03 | Modularization &amp; Program Structure</x:v>
      </x:c>
      <x:c r="C54" s="62" t="str">
        <x:v>Modularization &amp; Program Structure</x:v>
      </x:c>
      <x:c r="D54" s="62" t="str">
        <x:v>Function modules and function groups</x:v>
      </x:c>
      <x:c r="E54" s="62" t="str">
        <x:v>For “Function modules and function groups”: explain its purpose and key rules, demonstrate a small example or trace, handle one common edge case/failure, and name a relevant best practice or trade-off.</x:v>
      </x:c>
      <x:c r="F54" s="62" t="str">
        <x:v>Core</x:v>
      </x:c>
      <x:c r="G54" s="62" t="str">
        <x:v>P1</x:v>
      </x:c>
      <x:c r="H54" s="62" t="str">
        <x:v>Not Started</x:v>
      </x:c>
      <x:c r="I54" s="62"/>
      <x:c r="J54" s="66"/>
      <x:c r="K54" s="62" t="str"/>
      <x:c r="L54" s="62" t="str">
        <x:v>Core ABAP learning journey (Resources)</x:v>
      </x:c>
    </x:row>
    <x:row r="55" ht="40" customHeight="1">
      <x:c r="A55" s="62" t="str">
        <x:v>ABAP-051</x:v>
      </x:c>
      <x:c r="B55" s="62" t="str">
        <x:v>03 | Modularization &amp; Program Structure</x:v>
      </x:c>
      <x:c r="C55" s="62" t="str">
        <x:v>Modularization &amp; Program Structure</x:v>
      </x:c>
      <x:c r="D55" s="62" t="str">
        <x:v>Includes and their correct use</x:v>
      </x:c>
      <x:c r="E55" s="62" t="str">
        <x:v>For “Includes and their correct use”: explain its purpose and key rules, demonstrate a small example or trace, handle one common edge case/failure, and name a relevant best practice or trade-off.</x:v>
      </x:c>
      <x:c r="F55" s="62" t="str">
        <x:v>Core</x:v>
      </x:c>
      <x:c r="G55" s="62" t="str">
        <x:v>P1</x:v>
      </x:c>
      <x:c r="H55" s="62" t="str">
        <x:v>Not Started</x:v>
      </x:c>
      <x:c r="I55" s="62"/>
      <x:c r="J55" s="66"/>
      <x:c r="K55" s="62" t="str"/>
      <x:c r="L55" s="62" t="str">
        <x:v>Core ABAP learning journey (Resources)</x:v>
      </x:c>
    </x:row>
    <x:row r="56" ht="40" customHeight="1">
      <x:c r="A56" s="62" t="str">
        <x:v>ABAP-052</x:v>
      </x:c>
      <x:c r="B56" s="62" t="str">
        <x:v>03 | Modularization &amp; Program Structure</x:v>
      </x:c>
      <x:c r="C56" s="62" t="str">
        <x:v>Modularization &amp; Program Structure</x:v>
      </x:c>
      <x:c r="D56" s="62" t="str">
        <x:v>Local vs global declarations and scope</x:v>
      </x:c>
      <x:c r="E56" s="62" t="str">
        <x:v>For “Local vs global declarations and scope”: explain its purpose and key rules, demonstrate a small example or trace, handle one common edge case/failure, and name a relevant best practice or trade-off.</x:v>
      </x:c>
      <x:c r="F56" s="62" t="str">
        <x:v>Core</x:v>
      </x:c>
      <x:c r="G56" s="62" t="str">
        <x:v>P1</x:v>
      </x:c>
      <x:c r="H56" s="62" t="str">
        <x:v>Not Started</x:v>
      </x:c>
      <x:c r="I56" s="62"/>
      <x:c r="J56" s="66"/>
      <x:c r="K56" s="62" t="str"/>
      <x:c r="L56" s="62" t="str">
        <x:v>Core ABAP learning journey (Resources)</x:v>
      </x:c>
    </x:row>
    <x:row r="57" ht="40" customHeight="1">
      <x:c r="A57" s="62" t="str">
        <x:v>ABAP-053</x:v>
      </x:c>
      <x:c r="B57" s="62" t="str">
        <x:v>03 | Modularization &amp; Program Structure</x:v>
      </x:c>
      <x:c r="C57" s="62" t="str">
        <x:v>Modularization &amp; Program Structure</x:v>
      </x:c>
      <x:c r="D57" s="62" t="str">
        <x:v>IMPORTING / EXPORTING / CHANGING / RETURNING parameters</x:v>
      </x:c>
      <x:c r="E57" s="62" t="str">
        <x:v>For “IMPORTING / EXPORTING / CHANGING / RETURNING parameters”: explain its purpose and key rules, demonstrate a small example or trace, handle one common edge case/failure, and name a relevant best practice or trade-off.</x:v>
      </x:c>
      <x:c r="F57" s="62" t="str">
        <x:v>Core</x:v>
      </x:c>
      <x:c r="G57" s="62" t="str">
        <x:v>P1</x:v>
      </x:c>
      <x:c r="H57" s="62" t="str">
        <x:v>Not Started</x:v>
      </x:c>
      <x:c r="I57" s="62"/>
      <x:c r="J57" s="66"/>
      <x:c r="K57" s="62" t="str"/>
      <x:c r="L57" s="62" t="str">
        <x:v>Core ABAP learning journey (Resources)</x:v>
      </x:c>
    </x:row>
    <x:row r="58" ht="40" customHeight="1">
      <x:c r="A58" s="62" t="str">
        <x:v>ABAP-054</x:v>
      </x:c>
      <x:c r="B58" s="62" t="str">
        <x:v>03 | Modularization &amp; Program Structure</x:v>
      </x:c>
      <x:c r="C58" s="62" t="str">
        <x:v>Modularization &amp; Program Structure</x:v>
      </x:c>
      <x:c r="D58" s="62" t="str">
        <x:v>Pass by value vs pass by reference</x:v>
      </x:c>
      <x:c r="E58" s="62" t="str">
        <x:v>For “Pass by value vs pass by reference”: explain its purpose and key rules, demonstrate a small example or trace, handle one common edge case/failure, and name a relevant best practice or trade-off.</x:v>
      </x:c>
      <x:c r="F58" s="62" t="str">
        <x:v>Core</x:v>
      </x:c>
      <x:c r="G58" s="62" t="str">
        <x:v>P1</x:v>
      </x:c>
      <x:c r="H58" s="62" t="str">
        <x:v>Not Started</x:v>
      </x:c>
      <x:c r="I58" s="62"/>
      <x:c r="J58" s="66"/>
      <x:c r="K58" s="62" t="str"/>
      <x:c r="L58" s="62" t="str">
        <x:v>Core ABAP learning journey (Resources)</x:v>
      </x:c>
    </x:row>
    <x:row r="59" ht="40" customHeight="1">
      <x:c r="A59" s="62" t="str">
        <x:v>ABAP-055</x:v>
      </x:c>
      <x:c r="B59" s="62" t="str">
        <x:v>03 | Modularization &amp; Program Structure</x:v>
      </x:c>
      <x:c r="C59" s="62" t="str">
        <x:v>Modularization &amp; Program Structure</x:v>
      </x:c>
      <x:c r="D59" s="62" t="str">
        <x:v>Optional parameters and default values</x:v>
      </x:c>
      <x:c r="E59" s="62" t="str">
        <x:v>For “Optional parameters and default values”: explain its purpose and key rules, demonstrate a small example or trace, handle one common edge case/failure, and name a relevant best practice or trade-off.</x:v>
      </x:c>
      <x:c r="F59" s="62" t="str">
        <x:v>Core</x:v>
      </x:c>
      <x:c r="G59" s="62" t="str">
        <x:v>P2</x:v>
      </x:c>
      <x:c r="H59" s="62" t="str">
        <x:v>Not Started</x:v>
      </x:c>
      <x:c r="I59" s="62"/>
      <x:c r="J59" s="66"/>
      <x:c r="K59" s="62" t="str"/>
      <x:c r="L59" s="62" t="str">
        <x:v>Core ABAP learning journey (Resources)</x:v>
      </x:c>
    </x:row>
    <x:row r="60" ht="40" customHeight="1">
      <x:c r="A60" s="62" t="str">
        <x:v>ABAP-056</x:v>
      </x:c>
      <x:c r="B60" s="62" t="str">
        <x:v>03 | Modularization &amp; Program Structure</x:v>
      </x:c>
      <x:c r="C60" s="62" t="str">
        <x:v>Modularization &amp; Program Structure</x:v>
      </x:c>
      <x:c r="D60" s="62" t="str">
        <x:v>Macro definitions and why to limit their use</x:v>
      </x:c>
      <x:c r="E60" s="62" t="str">
        <x:v>For “Macro definitions and why to limit their use”: explain its purpose and key rules, demonstrate a small example or trace, handle one common edge case/failure, and name a relevant best practice or trade-off.</x:v>
      </x:c>
      <x:c r="F60" s="62" t="str">
        <x:v>Core</x:v>
      </x:c>
      <x:c r="G60" s="62" t="str">
        <x:v>P2</x:v>
      </x:c>
      <x:c r="H60" s="62" t="str">
        <x:v>Not Started</x:v>
      </x:c>
      <x:c r="I60" s="62"/>
      <x:c r="J60" s="66"/>
      <x:c r="K60" s="62" t="str"/>
      <x:c r="L60" s="62" t="str">
        <x:v>Core ABAP learning journey (Resources)</x:v>
      </x:c>
    </x:row>
    <x:row r="61" ht="40" customHeight="1">
      <x:c r="A61" s="62" t="str">
        <x:v>ABAP-057</x:v>
      </x:c>
      <x:c r="B61" s="62" t="str">
        <x:v>03 | Modularization &amp; Program Structure</x:v>
      </x:c>
      <x:c r="C61" s="62" t="str">
        <x:v>Modularization &amp; Program Structure</x:v>
      </x:c>
      <x:c r="D61" s="62" t="str">
        <x:v>Reusable utility classes vs procedural forms</x:v>
      </x:c>
      <x:c r="E61" s="62" t="str">
        <x:v>For “Reusable utility classes vs procedural forms”: explain its purpose and key rules, demonstrate a small example or trace, handle one common edge case/failure, and name a relevant best practice or trade-off.</x:v>
      </x:c>
      <x:c r="F61" s="62" t="str">
        <x:v>Core</x:v>
      </x:c>
      <x:c r="G61" s="62" t="str">
        <x:v>P1</x:v>
      </x:c>
      <x:c r="H61" s="62" t="str">
        <x:v>Not Started</x:v>
      </x:c>
      <x:c r="I61" s="62"/>
      <x:c r="J61" s="66"/>
      <x:c r="K61" s="62" t="str"/>
      <x:c r="L61" s="62" t="str">
        <x:v>Core ABAP learning journey (Resources)</x:v>
      </x:c>
    </x:row>
    <x:row r="62" ht="40" customHeight="1">
      <x:c r="A62" s="62" t="str">
        <x:v>ABAP-058</x:v>
      </x:c>
      <x:c r="B62" s="62" t="str">
        <x:v>04 | Internal Tables</x:v>
      </x:c>
      <x:c r="C62" s="62" t="str">
        <x:v>Internal Tables</x:v>
      </x:c>
      <x:c r="D62" s="62" t="str">
        <x:v>Standard, sorted and hashed internal tables</x:v>
      </x:c>
      <x:c r="E62" s="62" t="str">
        <x:v>For “Standard, sorted and hashed internal tables”: explain its purpose and key rules, demonstrate a small example or trace, handle one common edge case/failure, and name a relevant best practice or trade-off.</x:v>
      </x:c>
      <x:c r="F62" s="62" t="str">
        <x:v>Core</x:v>
      </x:c>
      <x:c r="G62" s="62" t="str">
        <x:v>P1</x:v>
      </x:c>
      <x:c r="H62" s="62" t="str">
        <x:v>Not Started</x:v>
      </x:c>
      <x:c r="I62" s="62"/>
      <x:c r="J62" s="66"/>
      <x:c r="K62" s="62" t="str"/>
      <x:c r="L62" s="62" t="str">
        <x:v>Core ABAP learning journey (Resources)</x:v>
      </x:c>
    </x:row>
    <x:row r="63" ht="40" customHeight="1">
      <x:c r="A63" s="62" t="str">
        <x:v>ABAP-059</x:v>
      </x:c>
      <x:c r="B63" s="62" t="str">
        <x:v>04 | Internal Tables</x:v>
      </x:c>
      <x:c r="C63" s="62" t="str">
        <x:v>Internal Tables</x:v>
      </x:c>
      <x:c r="D63" s="62" t="str">
        <x:v>Table keys: primary, secondary, unique and non-unique</x:v>
      </x:c>
      <x:c r="E63" s="62" t="str">
        <x:v>For “Table keys: primary, secondary, unique and non-unique”: explain its purpose and key rules, demonstrate a small example or trace, handle one common edge case/failure, and name a relevant best practice or trade-off.</x:v>
      </x:c>
      <x:c r="F63" s="62" t="str">
        <x:v>Core</x:v>
      </x:c>
      <x:c r="G63" s="62" t="str">
        <x:v>P1</x:v>
      </x:c>
      <x:c r="H63" s="62" t="str">
        <x:v>Not Started</x:v>
      </x:c>
      <x:c r="I63" s="62"/>
      <x:c r="J63" s="66"/>
      <x:c r="K63" s="62" t="str"/>
      <x:c r="L63" s="62" t="str">
        <x:v>Core ABAP learning journey (Resources)</x:v>
      </x:c>
    </x:row>
    <x:row r="64" ht="40" customHeight="1">
      <x:c r="A64" s="62" t="str">
        <x:v>ABAP-060</x:v>
      </x:c>
      <x:c r="B64" s="62" t="str">
        <x:v>04 | Internal Tables</x:v>
      </x:c>
      <x:c r="C64" s="62" t="str">
        <x:v>Internal Tables</x:v>
      </x:c>
      <x:c r="D64" s="62" t="str">
        <x:v>APPEND, INSERT, MODIFY, DELETE and CLEAR</x:v>
      </x:c>
      <x:c r="E64" s="62" t="str">
        <x:v>For “APPEND, INSERT, MODIFY, DELETE and CLEAR”: explain its purpose and key rules, demonstrate a small example or trace, handle one common edge case/failure, and name a relevant best practice or trade-off.</x:v>
      </x:c>
      <x:c r="F64" s="62" t="str">
        <x:v>Core</x:v>
      </x:c>
      <x:c r="G64" s="62" t="str">
        <x:v>P1</x:v>
      </x:c>
      <x:c r="H64" s="62" t="str">
        <x:v>Not Started</x:v>
      </x:c>
      <x:c r="I64" s="62"/>
      <x:c r="J64" s="66"/>
      <x:c r="K64" s="62" t="str"/>
      <x:c r="L64" s="62" t="str">
        <x:v>Core ABAP learning journey (Resources)</x:v>
      </x:c>
    </x:row>
    <x:row r="65" ht="40" customHeight="1">
      <x:c r="A65" s="62" t="str">
        <x:v>ABAP-061</x:v>
      </x:c>
      <x:c r="B65" s="62" t="str">
        <x:v>04 | Internal Tables</x:v>
      </x:c>
      <x:c r="C65" s="62" t="str">
        <x:v>Internal Tables</x:v>
      </x:c>
      <x:c r="D65" s="62" t="str">
        <x:v>READ TABLE with KEY / INDEX / BINARY SEARCH</x:v>
      </x:c>
      <x:c r="E65" s="62" t="str">
        <x:v>For “READ TABLE with KEY / INDEX / BINARY SEARCH”: explain its purpose and key rules, demonstrate a small example or trace, handle one common edge case/failure, and name a relevant best practice or trade-off.</x:v>
      </x:c>
      <x:c r="F65" s="62" t="str">
        <x:v>Core</x:v>
      </x:c>
      <x:c r="G65" s="62" t="str">
        <x:v>P1</x:v>
      </x:c>
      <x:c r="H65" s="62" t="str">
        <x:v>Not Started</x:v>
      </x:c>
      <x:c r="I65" s="62"/>
      <x:c r="J65" s="66"/>
      <x:c r="K65" s="62" t="str"/>
      <x:c r="L65" s="62" t="str">
        <x:v>Core ABAP learning journey (Resources)</x:v>
      </x:c>
    </x:row>
    <x:row r="66" ht="40" customHeight="1">
      <x:c r="A66" s="62" t="str">
        <x:v>ABAP-062</x:v>
      </x:c>
      <x:c r="B66" s="62" t="str">
        <x:v>04 | Internal Tables</x:v>
      </x:c>
      <x:c r="C66" s="62" t="str">
        <x:v>Internal Tables</x:v>
      </x:c>
      <x:c r="D66" s="62" t="str">
        <x:v>SORT and correct use of BINARY SEARCH</x:v>
      </x:c>
      <x:c r="E66" s="62" t="str">
        <x:v>For “SORT and correct use of BINARY SEARCH”: explain its purpose and key rules, demonstrate a small example or trace, handle one common edge case/failure, and name a relevant best practice or trade-off.</x:v>
      </x:c>
      <x:c r="F66" s="62" t="str">
        <x:v>Core</x:v>
      </x:c>
      <x:c r="G66" s="62" t="str">
        <x:v>P1</x:v>
      </x:c>
      <x:c r="H66" s="62" t="str">
        <x:v>Not Started</x:v>
      </x:c>
      <x:c r="I66" s="62"/>
      <x:c r="J66" s="66"/>
      <x:c r="K66" s="62" t="str"/>
      <x:c r="L66" s="62" t="str">
        <x:v>Core ABAP learning journey (Resources)</x:v>
      </x:c>
    </x:row>
    <x:row r="67" ht="40" customHeight="1">
      <x:c r="A67" s="62" t="str">
        <x:v>ABAP-063</x:v>
      </x:c>
      <x:c r="B67" s="62" t="str">
        <x:v>04 | Internal Tables</x:v>
      </x:c>
      <x:c r="C67" s="62" t="str">
        <x:v>Internal Tables</x:v>
      </x:c>
      <x:c r="D67" s="62" t="str">
        <x:v>LOOP AT ... INTO vs ASSIGNING vs REFERENCE INTO</x:v>
      </x:c>
      <x:c r="E67" s="62" t="str">
        <x:v>For “LOOP AT ... INTO vs ASSIGNING vs REFERENCE INTO”: explain its purpose and key rules, demonstrate a small example or trace, handle one common edge case/failure, and name a relevant best practice or trade-off.</x:v>
      </x:c>
      <x:c r="F67" s="62" t="str">
        <x:v>Core</x:v>
      </x:c>
      <x:c r="G67" s="62" t="str">
        <x:v>P1</x:v>
      </x:c>
      <x:c r="H67" s="62" t="str">
        <x:v>Not Started</x:v>
      </x:c>
      <x:c r="I67" s="62"/>
      <x:c r="J67" s="66"/>
      <x:c r="K67" s="62" t="str"/>
      <x:c r="L67" s="62" t="str">
        <x:v>Core ABAP learning journey (Resources)</x:v>
      </x:c>
    </x:row>
    <x:row r="68" ht="40" customHeight="1">
      <x:c r="A68" s="62" t="str">
        <x:v>ABAP-064</x:v>
      </x:c>
      <x:c r="B68" s="62" t="str">
        <x:v>04 | Internal Tables</x:v>
      </x:c>
      <x:c r="C68" s="62" t="str">
        <x:v>Internal Tables</x:v>
      </x:c>
      <x:c r="D68" s="62" t="str">
        <x:v>FIELD-SYMBOLS for high-volume table operations</x:v>
      </x:c>
      <x:c r="E68" s="62" t="str">
        <x:v>For “FIELD-SYMBOLS for high-volume table operations”: explain its purpose and key rules, demonstrate a small example or trace, handle one common edge case/failure, and name a relevant best practice or trade-off.</x:v>
      </x:c>
      <x:c r="F68" s="62" t="str">
        <x:v>Core</x:v>
      </x:c>
      <x:c r="G68" s="62" t="str">
        <x:v>P1</x:v>
      </x:c>
      <x:c r="H68" s="62" t="str">
        <x:v>Not Started</x:v>
      </x:c>
      <x:c r="I68" s="62"/>
      <x:c r="J68" s="66"/>
      <x:c r="K68" s="62" t="str"/>
      <x:c r="L68" s="62" t="str">
        <x:v>Core ABAP learning journey (Resources)</x:v>
      </x:c>
    </x:row>
    <x:row r="69" ht="40" customHeight="1">
      <x:c r="A69" s="62" t="str">
        <x:v>ABAP-065</x:v>
      </x:c>
      <x:c r="B69" s="62" t="str">
        <x:v>04 | Internal Tables</x:v>
      </x:c>
      <x:c r="C69" s="62" t="str">
        <x:v>Internal Tables</x:v>
      </x:c>
      <x:c r="D69" s="62" t="str">
        <x:v>Table expressions: itab[ ... ] and line_exists</x:v>
      </x:c>
      <x:c r="E69" s="62" t="str">
        <x:v>For “Table expressions: itab[ ... ] and line_exists”: explain its purpose and key rules, demonstrate a small example or trace, handle one common edge case/failure, and name a relevant best practice or trade-off.</x:v>
      </x:c>
      <x:c r="F69" s="62" t="str">
        <x:v>Core</x:v>
      </x:c>
      <x:c r="G69" s="62" t="str">
        <x:v>P1</x:v>
      </x:c>
      <x:c r="H69" s="62" t="str">
        <x:v>Not Started</x:v>
      </x:c>
      <x:c r="I69" s="62"/>
      <x:c r="J69" s="66"/>
      <x:c r="K69" s="62" t="str"/>
      <x:c r="L69" s="62" t="str">
        <x:v>Core ABAP learning journey (Resources)</x:v>
      </x:c>
    </x:row>
    <x:row r="70" ht="40" customHeight="1">
      <x:c r="A70" s="62" t="str">
        <x:v>ABAP-066</x:v>
      </x:c>
      <x:c r="B70" s="62" t="str">
        <x:v>04 | Internal Tables</x:v>
      </x:c>
      <x:c r="C70" s="62" t="str">
        <x:v>Internal Tables</x:v>
      </x:c>
      <x:c r="D70" s="62" t="str">
        <x:v>line_index and OPTIONAL / DEFAULT table-expression patterns</x:v>
      </x:c>
      <x:c r="E70" s="62" t="str">
        <x:v>For “line_index and OPTIONAL / DEFAULT table-expression patterns”: explain its purpose and key rules, demonstrate a small example or trace, handle one common edge case/failure, and name a relevant best practice or trade-off.</x:v>
      </x:c>
      <x:c r="F70" s="62" t="str">
        <x:v>Core</x:v>
      </x:c>
      <x:c r="G70" s="62" t="str">
        <x:v>P2</x:v>
      </x:c>
      <x:c r="H70" s="62" t="str">
        <x:v>Not Started</x:v>
      </x:c>
      <x:c r="I70" s="62"/>
      <x:c r="J70" s="66"/>
      <x:c r="K70" s="62" t="str"/>
      <x:c r="L70" s="62" t="str">
        <x:v>Core ABAP learning journey (Resources)</x:v>
      </x:c>
    </x:row>
    <x:row r="71" ht="40" customHeight="1">
      <x:c r="A71" s="62" t="str">
        <x:v>ABAP-067</x:v>
      </x:c>
      <x:c r="B71" s="62" t="str">
        <x:v>04 | Internal Tables</x:v>
      </x:c>
      <x:c r="C71" s="62" t="str">
        <x:v>Internal Tables</x:v>
      </x:c>
      <x:c r="D71" s="62" t="str">
        <x:v>READ TABLE ... TRANSPORTING NO FIELDS</x:v>
      </x:c>
      <x:c r="E71" s="62" t="str">
        <x:v>For “READ TABLE ... TRANSPORTING NO FIELDS”: explain its purpose and key rules, demonstrate a small example or trace, handle one common edge case/failure, and name a relevant best practice or trade-off.</x:v>
      </x:c>
      <x:c r="F71" s="62" t="str">
        <x:v>Core</x:v>
      </x:c>
      <x:c r="G71" s="62" t="str">
        <x:v>P2</x:v>
      </x:c>
      <x:c r="H71" s="62" t="str">
        <x:v>Not Started</x:v>
      </x:c>
      <x:c r="I71" s="62"/>
      <x:c r="J71" s="66"/>
      <x:c r="K71" s="62" t="str"/>
      <x:c r="L71" s="62" t="str">
        <x:v>Core ABAP learning journey (Resources)</x:v>
      </x:c>
    </x:row>
    <x:row r="72" ht="40" customHeight="1">
      <x:c r="A72" s="62" t="str">
        <x:v>ABAP-068</x:v>
      </x:c>
      <x:c r="B72" s="62" t="str">
        <x:v>04 | Internal Tables</x:v>
      </x:c>
      <x:c r="C72" s="62" t="str">
        <x:v>Internal Tables</x:v>
      </x:c>
      <x:c r="D72" s="62" t="str">
        <x:v>COLLECT and numeric aggregation</x:v>
      </x:c>
      <x:c r="E72" s="62" t="str">
        <x:v>For “COLLECT and numeric aggregation”: explain its purpose and key rules, demonstrate a small example or trace, handle one common edge case/failure, and name a relevant best practice or trade-off.</x:v>
      </x:c>
      <x:c r="F72" s="62" t="str">
        <x:v>Core</x:v>
      </x:c>
      <x:c r="G72" s="62" t="str">
        <x:v>P2</x:v>
      </x:c>
      <x:c r="H72" s="62" t="str">
        <x:v>Not Started</x:v>
      </x:c>
      <x:c r="I72" s="62"/>
      <x:c r="J72" s="66"/>
      <x:c r="K72" s="62" t="str"/>
      <x:c r="L72" s="62" t="str">
        <x:v>Core ABAP learning journey (Resources)</x:v>
      </x:c>
    </x:row>
    <x:row r="73" ht="40" customHeight="1">
      <x:c r="A73" s="62" t="str">
        <x:v>ABAP-069</x:v>
      </x:c>
      <x:c r="B73" s="62" t="str">
        <x:v>04 | Internal Tables</x:v>
      </x:c>
      <x:c r="C73" s="62" t="str">
        <x:v>Internal Tables</x:v>
      </x:c>
      <x:c r="D73" s="62" t="str">
        <x:v>DELETE ADJACENT DUPLICATES and sort prerequisites</x:v>
      </x:c>
      <x:c r="E73" s="62" t="str">
        <x:v>For “DELETE ADJACENT DUPLICATES and sort prerequisites”: explain its purpose and key rules, demonstrate a small example or trace, handle one common edge case/failure, and name a relevant best practice or trade-off.</x:v>
      </x:c>
      <x:c r="F73" s="62" t="str">
        <x:v>Core</x:v>
      </x:c>
      <x:c r="G73" s="62" t="str">
        <x:v>P1</x:v>
      </x:c>
      <x:c r="H73" s="62" t="str">
        <x:v>Not Started</x:v>
      </x:c>
      <x:c r="I73" s="62"/>
      <x:c r="J73" s="66"/>
      <x:c r="K73" s="62" t="str"/>
      <x:c r="L73" s="62" t="str">
        <x:v>Core ABAP learning journey (Resources)</x:v>
      </x:c>
    </x:row>
    <x:row r="74" ht="40" customHeight="1">
      <x:c r="A74" s="62" t="str">
        <x:v>ABAP-070</x:v>
      </x:c>
      <x:c r="B74" s="62" t="str">
        <x:v>04 | Internal Tables</x:v>
      </x:c>
      <x:c r="C74" s="62" t="str">
        <x:v>Internal Tables</x:v>
      </x:c>
      <x:c r="D74" s="62" t="str">
        <x:v>Control-break processing: AT NEW / AT END OF</x:v>
      </x:c>
      <x:c r="E74" s="62" t="str">
        <x:v>For “Control-break processing: AT NEW / AT END OF”: explain its purpose and key rules, demonstrate a small example or trace, handle one common edge case/failure, and name a relevant best practice or trade-off.</x:v>
      </x:c>
      <x:c r="F74" s="62" t="str">
        <x:v>Core</x:v>
      </x:c>
      <x:c r="G74" s="62" t="str">
        <x:v>P2</x:v>
      </x:c>
      <x:c r="H74" s="62" t="str">
        <x:v>Not Started</x:v>
      </x:c>
      <x:c r="I74" s="62"/>
      <x:c r="J74" s="66"/>
      <x:c r="K74" s="62" t="str"/>
      <x:c r="L74" s="62" t="str">
        <x:v>Core ABAP learning journey (Resources)</x:v>
      </x:c>
    </x:row>
    <x:row r="75" ht="40" customHeight="1">
      <x:c r="A75" s="62" t="str">
        <x:v>ABAP-071</x:v>
      </x:c>
      <x:c r="B75" s="62" t="str">
        <x:v>04 | Internal Tables</x:v>
      </x:c>
      <x:c r="C75" s="62" t="str">
        <x:v>Internal Tables</x:v>
      </x:c>
      <x:c r="D75" s="62" t="str">
        <x:v>Nested loops and avoiding quadratic logic</x:v>
      </x:c>
      <x:c r="E75" s="62" t="str">
        <x:v>For “Nested loops and avoiding quadratic logic”: explain its purpose and key rules, demonstrate a small example or trace, handle one common edge case/failure, and name a relevant best practice or trade-off.</x:v>
      </x:c>
      <x:c r="F75" s="62" t="str">
        <x:v>Core</x:v>
      </x:c>
      <x:c r="G75" s="62" t="str">
        <x:v>P1</x:v>
      </x:c>
      <x:c r="H75" s="62" t="str">
        <x:v>Not Started</x:v>
      </x:c>
      <x:c r="I75" s="62"/>
      <x:c r="J75" s="66"/>
      <x:c r="K75" s="62" t="str"/>
      <x:c r="L75" s="62" t="str">
        <x:v>Core ABAP learning journey (Resources)</x:v>
      </x:c>
    </x:row>
    <x:row r="76" ht="40" customHeight="1">
      <x:c r="A76" s="62" t="str">
        <x:v>ABAP-072</x:v>
      </x:c>
      <x:c r="B76" s="62" t="str">
        <x:v>04 | Internal Tables</x:v>
      </x:c>
      <x:c r="C76" s="62" t="str">
        <x:v>Internal Tables</x:v>
      </x:c>
      <x:c r="D76" s="62" t="str">
        <x:v>FILTER and secondary-key filtering</x:v>
      </x:c>
      <x:c r="E76" s="62" t="str">
        <x:v>For “FILTER and secondary-key filtering”: explain its purpose and key rules, demonstrate a small example or trace, handle one common edge case/failure, and name a relevant best practice or trade-off.</x:v>
      </x:c>
      <x:c r="F76" s="62" t="str">
        <x:v>Core</x:v>
      </x:c>
      <x:c r="G76" s="62" t="str">
        <x:v>P2</x:v>
      </x:c>
      <x:c r="H76" s="62" t="str">
        <x:v>Not Started</x:v>
      </x:c>
      <x:c r="I76" s="62"/>
      <x:c r="J76" s="66"/>
      <x:c r="K76" s="62" t="str"/>
      <x:c r="L76" s="62" t="str">
        <x:v>Core ABAP learning journey (Resources)</x:v>
      </x:c>
    </x:row>
    <x:row r="77" ht="40" customHeight="1">
      <x:c r="A77" s="62" t="str">
        <x:v>ABAP-073</x:v>
      </x:c>
      <x:c r="B77" s="62" t="str">
        <x:v>04 | Internal Tables</x:v>
      </x:c>
      <x:c r="C77" s="62" t="str">
        <x:v>Internal Tables</x:v>
      </x:c>
      <x:c r="D77" s="62" t="str">
        <x:v>CORRESPONDING for structure/table mapping</x:v>
      </x:c>
      <x:c r="E77" s="62" t="str">
        <x:v>For “CORRESPONDING for structure/table mapping”: explain its purpose and key rules, demonstrate a small example or trace, handle one common edge case/failure, and name a relevant best practice or trade-off.</x:v>
      </x:c>
      <x:c r="F77" s="62" t="str">
        <x:v>Core</x:v>
      </x:c>
      <x:c r="G77" s="62" t="str">
        <x:v>P1</x:v>
      </x:c>
      <x:c r="H77" s="62" t="str">
        <x:v>Not Started</x:v>
      </x:c>
      <x:c r="I77" s="62"/>
      <x:c r="J77" s="66"/>
      <x:c r="K77" s="62" t="str"/>
      <x:c r="L77" s="62" t="str">
        <x:v>Core ABAP learning journey (Resources)</x:v>
      </x:c>
    </x:row>
    <x:row r="78" ht="40" customHeight="1">
      <x:c r="A78" s="62" t="str">
        <x:v>ABAP-074</x:v>
      </x:c>
      <x:c r="B78" s="62" t="str">
        <x:v>04 | Internal Tables</x:v>
      </x:c>
      <x:c r="C78" s="62" t="str">
        <x:v>Internal Tables</x:v>
      </x:c>
      <x:c r="D78" s="62" t="str">
        <x:v>GROUP BY in LOOP AT</x:v>
      </x:c>
      <x:c r="E78" s="62" t="str">
        <x:v>For “GROUP BY in LOOP AT”: explain its purpose and key rules, demonstrate a small example or trace, handle one common edge case/failure, and name a relevant best practice or trade-off.</x:v>
      </x:c>
      <x:c r="F78" s="62" t="str">
        <x:v>Core</x:v>
      </x:c>
      <x:c r="G78" s="62" t="str">
        <x:v>P2</x:v>
      </x:c>
      <x:c r="H78" s="62" t="str">
        <x:v>Not Started</x:v>
      </x:c>
      <x:c r="I78" s="62"/>
      <x:c r="J78" s="66"/>
      <x:c r="K78" s="62" t="str"/>
      <x:c r="L78" s="62" t="str">
        <x:v>Core ABAP learning journey (Resources)</x:v>
      </x:c>
    </x:row>
    <x:row r="79" ht="40" customHeight="1">
      <x:c r="A79" s="62" t="str">
        <x:v>ABAP-075</x:v>
      </x:c>
      <x:c r="B79" s="62" t="str">
        <x:v>04 | Internal Tables</x:v>
      </x:c>
      <x:c r="C79" s="62" t="str">
        <x:v>Internal Tables</x:v>
      </x:c>
      <x:c r="D79" s="62" t="str">
        <x:v>VALUE and FOR expressions over internal tables</x:v>
      </x:c>
      <x:c r="E79" s="62" t="str">
        <x:v>For “VALUE and FOR expressions over internal tables”: explain its purpose and key rules, demonstrate a small example or trace, handle one common edge case/failure, and name a relevant best practice or trade-off.</x:v>
      </x:c>
      <x:c r="F79" s="62" t="str">
        <x:v>Core</x:v>
      </x:c>
      <x:c r="G79" s="62" t="str">
        <x:v>P2</x:v>
      </x:c>
      <x:c r="H79" s="62" t="str">
        <x:v>Not Started</x:v>
      </x:c>
      <x:c r="I79" s="62"/>
      <x:c r="J79" s="66"/>
      <x:c r="K79" s="62" t="str"/>
      <x:c r="L79" s="62" t="str">
        <x:v>Core ABAP learning journey (Resources)</x:v>
      </x:c>
    </x:row>
    <x:row r="80" ht="40" customHeight="1">
      <x:c r="A80" s="62" t="str">
        <x:v>ABAP-076</x:v>
      </x:c>
      <x:c r="B80" s="62" t="str">
        <x:v>04 | Internal Tables</x:v>
      </x:c>
      <x:c r="C80" s="62" t="str">
        <x:v>Internal Tables</x:v>
      </x:c>
      <x:c r="D80" s="62" t="str">
        <x:v>REDUCE for aggregation</x:v>
      </x:c>
      <x:c r="E80" s="62" t="str">
        <x:v>For “REDUCE for aggregation”: explain its purpose and key rules, demonstrate a small example or trace, handle one common edge case/failure, and name a relevant best practice or trade-off.</x:v>
      </x:c>
      <x:c r="F80" s="62" t="str">
        <x:v>Core</x:v>
      </x:c>
      <x:c r="G80" s="62" t="str">
        <x:v>P2</x:v>
      </x:c>
      <x:c r="H80" s="62" t="str">
        <x:v>Not Started</x:v>
      </x:c>
      <x:c r="I80" s="62"/>
      <x:c r="J80" s="66"/>
      <x:c r="K80" s="62" t="str"/>
      <x:c r="L80" s="62" t="str">
        <x:v>Core ABAP learning journey (Resources)</x:v>
      </x:c>
    </x:row>
    <x:row r="81" ht="40" customHeight="1">
      <x:c r="A81" s="62" t="str">
        <x:v>ABAP-077</x:v>
      </x:c>
      <x:c r="B81" s="62" t="str">
        <x:v>04 | Internal Tables</x:v>
      </x:c>
      <x:c r="C81" s="62" t="str">
        <x:v>Internal Tables</x:v>
      </x:c>
      <x:c r="D81" s="62" t="str">
        <x:v>Memory/performance trade-offs of table category and key</x:v>
      </x:c>
      <x:c r="E81" s="62" t="str">
        <x:v>For “Memory/performance trade-offs of table category and key”: explain its purpose and key rules, demonstrate a small example or trace, handle one common edge case/failure, and name a relevant best practice or trade-off.</x:v>
      </x:c>
      <x:c r="F81" s="62" t="str">
        <x:v>Core</x:v>
      </x:c>
      <x:c r="G81" s="62" t="str">
        <x:v>P1</x:v>
      </x:c>
      <x:c r="H81" s="62" t="str">
        <x:v>Not Started</x:v>
      </x:c>
      <x:c r="I81" s="62"/>
      <x:c r="J81" s="66"/>
      <x:c r="K81" s="62" t="str"/>
      <x:c r="L81" s="62" t="str">
        <x:v>Core ABAP learning journey (Resources)</x:v>
      </x:c>
    </x:row>
    <x:row r="82" ht="40" customHeight="1">
      <x:c r="A82" s="62" t="str">
        <x:v>ABAP-078</x:v>
      </x:c>
      <x:c r="B82" s="62" t="str">
        <x:v>05 | ABAP SQL &amp; Database Access</x:v>
      </x:c>
      <x:c r="C82" s="62" t="str">
        <x:v>ABAP SQL &amp; Database Access</x:v>
      </x:c>
      <x:c r="D82" s="62" t="str">
        <x:v>SELECT SINGLE vs SELECT ... UP TO 1 ROWS</x:v>
      </x:c>
      <x:c r="E82" s="62" t="str">
        <x:v>For “SELECT SINGLE vs SELECT ... UP TO 1 ROWS”: explain its purpose and key rules, demonstrate a small example or trace, handle one common edge case/failure, and name a relevant best practice or trade-off.</x:v>
      </x:c>
      <x:c r="F82" s="62" t="str">
        <x:v>Core</x:v>
      </x:c>
      <x:c r="G82" s="62" t="str">
        <x:v>P1</x:v>
      </x:c>
      <x:c r="H82" s="62" t="str">
        <x:v>Not Started</x:v>
      </x:c>
      <x:c r="I82" s="62"/>
      <x:c r="J82" s="66"/>
      <x:c r="K82" s="62" t="str"/>
      <x:c r="L82" s="62" t="str">
        <x:v>Core ABAP learning journey (Resources)</x:v>
      </x:c>
    </x:row>
    <x:row r="83" ht="40" customHeight="1">
      <x:c r="A83" s="62" t="str">
        <x:v>ABAP-079</x:v>
      </x:c>
      <x:c r="B83" s="62" t="str">
        <x:v>05 | ABAP SQL &amp; Database Access</x:v>
      </x:c>
      <x:c r="C83" s="62" t="str">
        <x:v>ABAP SQL &amp; Database Access</x:v>
      </x:c>
      <x:c r="D83" s="62" t="str">
        <x:v>SELECT list vs SELECT *</x:v>
      </x:c>
      <x:c r="E83" s="62" t="str">
        <x:v>For “SELECT list vs SELECT *”: explain its purpose and key rules, demonstrate a small example or trace, handle one common edge case/failure, and name a relevant best practice or trade-off.</x:v>
      </x:c>
      <x:c r="F83" s="62" t="str">
        <x:v>Core</x:v>
      </x:c>
      <x:c r="G83" s="62" t="str">
        <x:v>P1</x:v>
      </x:c>
      <x:c r="H83" s="62" t="str">
        <x:v>Not Started</x:v>
      </x:c>
      <x:c r="I83" s="62"/>
      <x:c r="J83" s="66"/>
      <x:c r="K83" s="62" t="str"/>
      <x:c r="L83" s="62" t="str">
        <x:v>Core ABAP learning journey (Resources)</x:v>
      </x:c>
    </x:row>
    <x:row r="84" ht="40" customHeight="1">
      <x:c r="A84" s="62" t="str">
        <x:v>ABAP-080</x:v>
      </x:c>
      <x:c r="B84" s="62" t="str">
        <x:v>05 | ABAP SQL &amp; Database Access</x:v>
      </x:c>
      <x:c r="C84" s="62" t="str">
        <x:v>ABAP SQL &amp; Database Access</x:v>
      </x:c>
      <x:c r="D84" s="62" t="str">
        <x:v>WHERE conditions, ranges and host variables</x:v>
      </x:c>
      <x:c r="E84" s="62" t="str">
        <x:v>For “WHERE conditions, ranges and host variables”: explain its purpose and key rules, demonstrate a small example or trace, handle one common edge case/failure, and name a relevant best practice or trade-off.</x:v>
      </x:c>
      <x:c r="F84" s="62" t="str">
        <x:v>Core</x:v>
      </x:c>
      <x:c r="G84" s="62" t="str">
        <x:v>P1</x:v>
      </x:c>
      <x:c r="H84" s="62" t="str">
        <x:v>Not Started</x:v>
      </x:c>
      <x:c r="I84" s="62"/>
      <x:c r="J84" s="66"/>
      <x:c r="K84" s="62" t="str"/>
      <x:c r="L84" s="62" t="str">
        <x:v>Core ABAP learning journey (Resources)</x:v>
      </x:c>
    </x:row>
    <x:row r="85" ht="40" customHeight="1">
      <x:c r="A85" s="62" t="str">
        <x:v>ABAP-081</x:v>
      </x:c>
      <x:c r="B85" s="62" t="str">
        <x:v>05 | ABAP SQL &amp; Database Access</x:v>
      </x:c>
      <x:c r="C85" s="62" t="str">
        <x:v>ABAP SQL &amp; Database Access</x:v>
      </x:c>
      <x:c r="D85" s="62" t="str">
        <x:v>INTO TABLE, INTO CORRESPONDING FIELDS and inline targets</x:v>
      </x:c>
      <x:c r="E85" s="62" t="str">
        <x:v>For “INTO TABLE, INTO CORRESPONDING FIELDS and inline targets”: explain its purpose and key rules, demonstrate a small example or trace, handle one common edge case/failure, and name a relevant best practice or trade-off.</x:v>
      </x:c>
      <x:c r="F85" s="62" t="str">
        <x:v>Core</x:v>
      </x:c>
      <x:c r="G85" s="62" t="str">
        <x:v>P1</x:v>
      </x:c>
      <x:c r="H85" s="62" t="str">
        <x:v>Not Started</x:v>
      </x:c>
      <x:c r="I85" s="62"/>
      <x:c r="J85" s="66"/>
      <x:c r="K85" s="62" t="str"/>
      <x:c r="L85" s="62" t="str">
        <x:v>Core ABAP learning journey (Resources)</x:v>
      </x:c>
    </x:row>
    <x:row r="86" ht="40" customHeight="1">
      <x:c r="A86" s="62" t="str">
        <x:v>ABAP-082</x:v>
      </x:c>
      <x:c r="B86" s="62" t="str">
        <x:v>05 | ABAP SQL &amp; Database Access</x:v>
      </x:c>
      <x:c r="C86" s="62" t="str">
        <x:v>ABAP SQL &amp; Database Access</x:v>
      </x:c>
      <x:c r="D86" s="62" t="str">
        <x:v>SELECT loops and package-size processing</x:v>
      </x:c>
      <x:c r="E86" s="62" t="str">
        <x:v>For “SELECT loops and package-size processing”: explain its purpose and key rules, demonstrate a small example or trace, handle one common edge case/failure, and name a relevant best practice or trade-off.</x:v>
      </x:c>
      <x:c r="F86" s="62" t="str">
        <x:v>Core</x:v>
      </x:c>
      <x:c r="G86" s="62" t="str">
        <x:v>P1</x:v>
      </x:c>
      <x:c r="H86" s="62" t="str">
        <x:v>Not Started</x:v>
      </x:c>
      <x:c r="I86" s="62"/>
      <x:c r="J86" s="66"/>
      <x:c r="K86" s="62" t="str"/>
      <x:c r="L86" s="62" t="str">
        <x:v>Core ABAP learning journey (Resources)</x:v>
      </x:c>
    </x:row>
    <x:row r="87" ht="40" customHeight="1">
      <x:c r="A87" s="62" t="str">
        <x:v>ABAP-083</x:v>
      </x:c>
      <x:c r="B87" s="62" t="str">
        <x:v>05 | ABAP SQL &amp; Database Access</x:v>
      </x:c>
      <x:c r="C87" s="62" t="str">
        <x:v>ABAP SQL &amp; Database Access</x:v>
      </x:c>
      <x:c r="D87" s="62" t="str">
        <x:v>INNER JOIN, LEFT OUTER JOIN and join cardinality</x:v>
      </x:c>
      <x:c r="E87" s="62" t="str">
        <x:v>For “INNER JOIN, LEFT OUTER JOIN and join cardinality”: explain its purpose and key rules, demonstrate a small example or trace, handle one common edge case/failure, and name a relevant best practice or trade-off.</x:v>
      </x:c>
      <x:c r="F87" s="62" t="str">
        <x:v>Core</x:v>
      </x:c>
      <x:c r="G87" s="62" t="str">
        <x:v>P1</x:v>
      </x:c>
      <x:c r="H87" s="62" t="str">
        <x:v>Not Started</x:v>
      </x:c>
      <x:c r="I87" s="62"/>
      <x:c r="J87" s="66"/>
      <x:c r="K87" s="62" t="str"/>
      <x:c r="L87" s="62" t="str">
        <x:v>Core ABAP learning journey (Resources)</x:v>
      </x:c>
    </x:row>
    <x:row r="88" ht="40" customHeight="1">
      <x:c r="A88" s="62" t="str">
        <x:v>ABAP-084</x:v>
      </x:c>
      <x:c r="B88" s="62" t="str">
        <x:v>05 | ABAP SQL &amp; Database Access</x:v>
      </x:c>
      <x:c r="C88" s="62" t="str">
        <x:v>ABAP SQL &amp; Database Access</x:v>
      </x:c>
      <x:c r="D88" s="62" t="str">
        <x:v>Subqueries, EXISTS and NOT EXISTS</x:v>
      </x:c>
      <x:c r="E88" s="62" t="str">
        <x:v>For “Subqueries, EXISTS and NOT EXISTS”: explain its purpose and key rules, demonstrate a small example or trace, handle one common edge case/failure, and name a relevant best practice or trade-off.</x:v>
      </x:c>
      <x:c r="F88" s="62" t="str">
        <x:v>Core</x:v>
      </x:c>
      <x:c r="G88" s="62" t="str">
        <x:v>P2</x:v>
      </x:c>
      <x:c r="H88" s="62" t="str">
        <x:v>Not Started</x:v>
      </x:c>
      <x:c r="I88" s="62"/>
      <x:c r="J88" s="66"/>
      <x:c r="K88" s="62" t="str"/>
      <x:c r="L88" s="62" t="str">
        <x:v>Core ABAP learning journey (Resources)</x:v>
      </x:c>
    </x:row>
    <x:row r="89" ht="40" customHeight="1">
      <x:c r="A89" s="62" t="str">
        <x:v>ABAP-085</x:v>
      </x:c>
      <x:c r="B89" s="62" t="str">
        <x:v>05 | ABAP SQL &amp; Database Access</x:v>
      </x:c>
      <x:c r="C89" s="62" t="str">
        <x:v>ABAP SQL &amp; Database Access</x:v>
      </x:c>
      <x:c r="D89" s="62" t="str">
        <x:v>FOR ALL ENTRIES: empty-table guard and duplicate behavior</x:v>
      </x:c>
      <x:c r="E89" s="62" t="str">
        <x:v>For “FOR ALL ENTRIES: empty-table guard and duplicate behavior”: explain its purpose and key rules, demonstrate a small example or trace, handle one common edge case/failure, and name a relevant best practice or trade-off.</x:v>
      </x:c>
      <x:c r="F89" s="62" t="str">
        <x:v>Core</x:v>
      </x:c>
      <x:c r="G89" s="62" t="str">
        <x:v>P1</x:v>
      </x:c>
      <x:c r="H89" s="62" t="str">
        <x:v>Not Started</x:v>
      </x:c>
      <x:c r="I89" s="62"/>
      <x:c r="J89" s="66"/>
      <x:c r="K89" s="62" t="str"/>
      <x:c r="L89" s="62" t="str">
        <x:v>RAP tutorials (Resources)</x:v>
      </x:c>
    </x:row>
    <x:row r="90" ht="40" customHeight="1">
      <x:c r="A90" s="62" t="str">
        <x:v>ABAP-086</x:v>
      </x:c>
      <x:c r="B90" s="62" t="str">
        <x:v>05 | ABAP SQL &amp; Database Access</x:v>
      </x:c>
      <x:c r="C90" s="62" t="str">
        <x:v>ABAP SQL &amp; Database Access</x:v>
      </x:c>
      <x:c r="D90" s="62" t="str">
        <x:v>UNION / UNION ALL and compatible result types</x:v>
      </x:c>
      <x:c r="E90" s="62" t="str">
        <x:v>For “UNION / UNION ALL and compatible result types”: explain its purpose and key rules, demonstrate a small example or trace, handle one common edge case/failure, and name a relevant best practice or trade-off.</x:v>
      </x:c>
      <x:c r="F90" s="62" t="str">
        <x:v>Core</x:v>
      </x:c>
      <x:c r="G90" s="62" t="str">
        <x:v>P2</x:v>
      </x:c>
      <x:c r="H90" s="62" t="str">
        <x:v>Not Started</x:v>
      </x:c>
      <x:c r="I90" s="62"/>
      <x:c r="J90" s="66"/>
      <x:c r="K90" s="62" t="str"/>
      <x:c r="L90" s="62" t="str">
        <x:v>Core ABAP learning journey (Resources)</x:v>
      </x:c>
    </x:row>
    <x:row r="91" ht="40" customHeight="1">
      <x:c r="A91" s="62" t="str">
        <x:v>ABAP-087</x:v>
      </x:c>
      <x:c r="B91" s="62" t="str">
        <x:v>05 | ABAP SQL &amp; Database Access</x:v>
      </x:c>
      <x:c r="C91" s="62" t="str">
        <x:v>ABAP SQL &amp; Database Access</x:v>
      </x:c>
      <x:c r="D91" s="62" t="str">
        <x:v>Aggregate functions, GROUP BY and HAVING</x:v>
      </x:c>
      <x:c r="E91" s="62" t="str">
        <x:v>For “Aggregate functions, GROUP BY and HAVING”: explain its purpose and key rules, demonstrate a small example or trace, handle one common edge case/failure, and name a relevant best practice or trade-off.</x:v>
      </x:c>
      <x:c r="F91" s="62" t="str">
        <x:v>Core</x:v>
      </x:c>
      <x:c r="G91" s="62" t="str">
        <x:v>P1</x:v>
      </x:c>
      <x:c r="H91" s="62" t="str">
        <x:v>Not Started</x:v>
      </x:c>
      <x:c r="I91" s="62"/>
      <x:c r="J91" s="66"/>
      <x:c r="K91" s="62" t="str"/>
      <x:c r="L91" s="62" t="str">
        <x:v>Core ABAP learning journey (Resources)</x:v>
      </x:c>
    </x:row>
    <x:row r="92" ht="40" customHeight="1">
      <x:c r="A92" s="62" t="str">
        <x:v>ABAP-088</x:v>
      </x:c>
      <x:c r="B92" s="62" t="str">
        <x:v>05 | ABAP SQL &amp; Database Access</x:v>
      </x:c>
      <x:c r="C92" s="62" t="str">
        <x:v>ABAP SQL &amp; Database Access</x:v>
      </x:c>
      <x:c r="D92" s="62" t="str">
        <x:v>ORDER BY and stable result expectations</x:v>
      </x:c>
      <x:c r="E92" s="62" t="str">
        <x:v>For “ORDER BY and stable result expectations”: explain its purpose and key rules, demonstrate a small example or trace, handle one common edge case/failure, and name a relevant best practice or trade-off.</x:v>
      </x:c>
      <x:c r="F92" s="62" t="str">
        <x:v>Core</x:v>
      </x:c>
      <x:c r="G92" s="62" t="str">
        <x:v>P1</x:v>
      </x:c>
      <x:c r="H92" s="62" t="str">
        <x:v>Not Started</x:v>
      </x:c>
      <x:c r="I92" s="62"/>
      <x:c r="J92" s="66"/>
      <x:c r="K92" s="62" t="str"/>
      <x:c r="L92" s="62" t="str">
        <x:v>Core ABAP learning journey (Resources)</x:v>
      </x:c>
    </x:row>
    <x:row r="93" ht="40" customHeight="1">
      <x:c r="A93" s="62" t="str">
        <x:v>ABAP-089</x:v>
      </x:c>
      <x:c r="B93" s="62" t="str">
        <x:v>05 | ABAP SQL &amp; Database Access</x:v>
      </x:c>
      <x:c r="C93" s="62" t="str">
        <x:v>ABAP SQL &amp; Database Access</x:v>
      </x:c>
      <x:c r="D93" s="62" t="str">
        <x:v>UPDATE, INSERT, MODIFY and DELETE database rows</x:v>
      </x:c>
      <x:c r="E93" s="62" t="str">
        <x:v>For “UPDATE, INSERT, MODIFY and DELETE database rows”: explain its purpose and key rules, demonstrate a small example or trace, handle one common edge case/failure, and name a relevant best practice or trade-off.</x:v>
      </x:c>
      <x:c r="F93" s="62" t="str">
        <x:v>Core</x:v>
      </x:c>
      <x:c r="G93" s="62" t="str">
        <x:v>P1</x:v>
      </x:c>
      <x:c r="H93" s="62" t="str">
        <x:v>Not Started</x:v>
      </x:c>
      <x:c r="I93" s="62"/>
      <x:c r="J93" s="66"/>
      <x:c r="K93" s="62" t="str"/>
      <x:c r="L93" s="62" t="str">
        <x:v>Core ABAP learning journey (Resources)</x:v>
      </x:c>
    </x:row>
    <x:row r="94" ht="40" customHeight="1">
      <x:c r="A94" s="62" t="str">
        <x:v>ABAP-090</x:v>
      </x:c>
      <x:c r="B94" s="62" t="str">
        <x:v>05 | ABAP SQL &amp; Database Access</x:v>
      </x:c>
      <x:c r="C94" s="62" t="str">
        <x:v>ABAP SQL &amp; Database Access</x:v>
      </x:c>
      <x:c r="D94" s="62" t="str">
        <x:v>Database LUW and COMMIT WORK / ROLLBACK WORK</x:v>
      </x:c>
      <x:c r="E94" s="62" t="str">
        <x:v>For “Database LUW and COMMIT WORK / ROLLBACK WORK”: explain its purpose and key rules, demonstrate a small example or trace, handle one common edge case/failure, and name a relevant best practice or trade-off.</x:v>
      </x:c>
      <x:c r="F94" s="62" t="str">
        <x:v>Core</x:v>
      </x:c>
      <x:c r="G94" s="62" t="str">
        <x:v>P1</x:v>
      </x:c>
      <x:c r="H94" s="62" t="str">
        <x:v>Not Started</x:v>
      </x:c>
      <x:c r="I94" s="62"/>
      <x:c r="J94" s="66"/>
      <x:c r="K94" s="62" t="str"/>
      <x:c r="L94" s="62" t="str">
        <x:v>Core ABAP learning journey (Resources)</x:v>
      </x:c>
    </x:row>
    <x:row r="95" ht="40" customHeight="1">
      <x:c r="A95" s="62" t="str">
        <x:v>ABAP-091</x:v>
      </x:c>
      <x:c r="B95" s="62" t="str">
        <x:v>05 | ABAP SQL &amp; Database Access</x:v>
      </x:c>
      <x:c r="C95" s="62" t="str">
        <x:v>ABAP SQL &amp; Database Access</x:v>
      </x:c>
      <x:c r="D95" s="62" t="str">
        <x:v>SELECT ... ENDSELECT and when to avoid it</x:v>
      </x:c>
      <x:c r="E95" s="62" t="str">
        <x:v>For “SELECT ... ENDSELECT and when to avoid it”: explain its purpose and key rules, demonstrate a small example or trace, handle one common edge case/failure, and name a relevant best practice or trade-off.</x:v>
      </x:c>
      <x:c r="F95" s="62" t="str">
        <x:v>Core</x:v>
      </x:c>
      <x:c r="G95" s="62" t="str">
        <x:v>P1</x:v>
      </x:c>
      <x:c r="H95" s="62" t="str">
        <x:v>Not Started</x:v>
      </x:c>
      <x:c r="I95" s="62"/>
      <x:c r="J95" s="66"/>
      <x:c r="K95" s="62" t="str"/>
      <x:c r="L95" s="62" t="str">
        <x:v>Core ABAP learning journey (Resources)</x:v>
      </x:c>
    </x:row>
    <x:row r="96" ht="40" customHeight="1">
      <x:c r="A96" s="62" t="str">
        <x:v>ABAP-092</x:v>
      </x:c>
      <x:c r="B96" s="62" t="str">
        <x:v>05 | ABAP SQL &amp; Database Access</x:v>
      </x:c>
      <x:c r="C96" s="62" t="str">
        <x:v>ABAP SQL &amp; Database Access</x:v>
      </x:c>
      <x:c r="D96" s="62" t="str">
        <x:v>ABAP SQL expressions, CASE and built-in functions</x:v>
      </x:c>
      <x:c r="E96" s="62" t="str">
        <x:v>For “ABAP SQL expressions, CASE and built-in functions”: explain its purpose and key rules, demonstrate a small example or trace, handle one common edge case/failure, and name a relevant best practice or trade-off.</x:v>
      </x:c>
      <x:c r="F96" s="62" t="str">
        <x:v>Core</x:v>
      </x:c>
      <x:c r="G96" s="62" t="str">
        <x:v>P2</x:v>
      </x:c>
      <x:c r="H96" s="62" t="str">
        <x:v>Not Started</x:v>
      </x:c>
      <x:c r="I96" s="62"/>
      <x:c r="J96" s="66"/>
      <x:c r="K96" s="62" t="str"/>
      <x:c r="L96" s="62" t="str">
        <x:v>Core ABAP learning journey (Resources)</x:v>
      </x:c>
    </x:row>
    <x:row r="97" ht="40" customHeight="1">
      <x:c r="A97" s="62" t="str">
        <x:v>ABAP-093</x:v>
      </x:c>
      <x:c r="B97" s="62" t="str">
        <x:v>05 | ABAP SQL &amp; Database Access</x:v>
      </x:c>
      <x:c r="C97" s="62" t="str">
        <x:v>ABAP SQL &amp; Database Access</x:v>
      </x:c>
      <x:c r="D97" s="62" t="str">
        <x:v>Host expressions and escaped host variables (@)</x:v>
      </x:c>
      <x:c r="E97" s="62" t="str">
        <x:v>For “Host expressions and escaped host variables (@)”: explain its purpose and key rules, demonstrate a small example or trace, handle one common edge case/failure, and name a relevant best practice or trade-off.</x:v>
      </x:c>
      <x:c r="F97" s="62" t="str">
        <x:v>Core</x:v>
      </x:c>
      <x:c r="G97" s="62" t="str">
        <x:v>P1</x:v>
      </x:c>
      <x:c r="H97" s="62" t="str">
        <x:v>Not Started</x:v>
      </x:c>
      <x:c r="I97" s="62"/>
      <x:c r="J97" s="66"/>
      <x:c r="K97" s="62" t="str"/>
      <x:c r="L97" s="62" t="str">
        <x:v>Core ABAP learning journey (Resources)</x:v>
      </x:c>
    </x:row>
    <x:row r="98" ht="40" customHeight="1">
      <x:c r="A98" s="62" t="str">
        <x:v>ABAP-094</x:v>
      </x:c>
      <x:c r="B98" s="62" t="str">
        <x:v>05 | ABAP SQL &amp; Database Access</x:v>
      </x:c>
      <x:c r="C98" s="62" t="str">
        <x:v>ABAP SQL &amp; Database Access</x:v>
      </x:c>
      <x:c r="D98" s="62" t="str">
        <x:v>Common Table Expressions (WITH) where supported</x:v>
      </x:c>
      <x:c r="E98" s="62" t="str">
        <x:v>For “Common Table Expressions (WITH) where supported”: explain its purpose and key rules, demonstrate a small example or trace, handle one common edge case/failure, and name a relevant best practice or trade-off.</x:v>
      </x:c>
      <x:c r="F98" s="62" t="str">
        <x:v>Core</x:v>
      </x:c>
      <x:c r="G98" s="62" t="str">
        <x:v>P2</x:v>
      </x:c>
      <x:c r="H98" s="62" t="str">
        <x:v>Not Started</x:v>
      </x:c>
      <x:c r="I98" s="62"/>
      <x:c r="J98" s="66"/>
      <x:c r="K98" s="62" t="str"/>
      <x:c r="L98" s="62" t="str">
        <x:v>Core ABAP learning journey (Resources)</x:v>
      </x:c>
    </x:row>
    <x:row r="99" ht="40" customHeight="1">
      <x:c r="A99" s="62" t="str">
        <x:v>ABAP-095</x:v>
      </x:c>
      <x:c r="B99" s="62" t="str">
        <x:v>05 | ABAP SQL &amp; Database Access</x:v>
      </x:c>
      <x:c r="C99" s="62" t="str">
        <x:v>ABAP SQL &amp; Database Access</x:v>
      </x:c>
      <x:c r="D99" s="62" t="str">
        <x:v>Internal tables as SQL data sources where supported</x:v>
      </x:c>
      <x:c r="E99" s="62" t="str">
        <x:v>For “Internal tables as SQL data sources where supported”: explain its purpose and key rules, demonstrate a small example or trace, handle one common edge case/failure, and name a relevant best practice or trade-off.</x:v>
      </x:c>
      <x:c r="F99" s="62" t="str">
        <x:v>Core</x:v>
      </x:c>
      <x:c r="G99" s="62" t="str">
        <x:v>P2</x:v>
      </x:c>
      <x:c r="H99" s="62" t="str">
        <x:v>Not Started</x:v>
      </x:c>
      <x:c r="I99" s="62"/>
      <x:c r="J99" s="66"/>
      <x:c r="K99" s="62" t="str"/>
      <x:c r="L99" s="62" t="str">
        <x:v>Core ABAP learning journey (Resources)</x:v>
      </x:c>
    </x:row>
    <x:row r="100" ht="40" customHeight="1">
      <x:c r="A100" s="62" t="str">
        <x:v>ABAP-096</x:v>
      </x:c>
      <x:c r="B100" s="62" t="str">
        <x:v>05 | ABAP SQL &amp; Database Access</x:v>
      </x:c>
      <x:c r="C100" s="62" t="str">
        <x:v>ABAP SQL &amp; Database Access</x:v>
      </x:c>
      <x:c r="D100" s="62" t="str">
        <x:v>NULL handling, COALESCE and outer-join semantics</x:v>
      </x:c>
      <x:c r="E100" s="62" t="str">
        <x:v>For “NULL handling, COALESCE and outer-join semantics”: explain its purpose and key rules, demonstrate a small example or trace, handle one common edge case/failure, and name a relevant best practice or trade-off.</x:v>
      </x:c>
      <x:c r="F100" s="62" t="str">
        <x:v>Core</x:v>
      </x:c>
      <x:c r="G100" s="62" t="str">
        <x:v>P2</x:v>
      </x:c>
      <x:c r="H100" s="62" t="str">
        <x:v>Not Started</x:v>
      </x:c>
      <x:c r="I100" s="62"/>
      <x:c r="J100" s="66"/>
      <x:c r="K100" s="62" t="str"/>
      <x:c r="L100" s="62" t="str">
        <x:v>Core ABAP learning journey (Resources)</x:v>
      </x:c>
    </x:row>
    <x:row r="101" ht="40" customHeight="1">
      <x:c r="A101" s="62" t="str">
        <x:v>ABAP-097</x:v>
      </x:c>
      <x:c r="B101" s="62" t="str">
        <x:v>05 | ABAP SQL &amp; Database Access</x:v>
      </x:c>
      <x:c r="C101" s="62" t="str">
        <x:v>ABAP SQL &amp; Database Access</x:v>
      </x:c>
      <x:c r="D101" s="62" t="str">
        <x:v>Client handling and client-dependent tables</x:v>
      </x:c>
      <x:c r="E101" s="62" t="str">
        <x:v>For “Client handling and client-dependent tables”: explain its purpose and key rules, demonstrate a small example or trace, handle one common edge case/failure, and name a relevant best practice or trade-off.</x:v>
      </x:c>
      <x:c r="F101" s="62" t="str">
        <x:v>Core</x:v>
      </x:c>
      <x:c r="G101" s="62" t="str">
        <x:v>P1</x:v>
      </x:c>
      <x:c r="H101" s="62" t="str">
        <x:v>Not Started</x:v>
      </x:c>
      <x:c r="I101" s="62"/>
      <x:c r="J101" s="66"/>
      <x:c r="K101" s="62" t="str"/>
      <x:c r="L101" s="62" t="str">
        <x:v>Core ABAP learning journey (Resources)</x:v>
      </x:c>
    </x:row>
    <x:row r="102" ht="40" customHeight="1">
      <x:c r="A102" s="62" t="str">
        <x:v>ABAP-098</x:v>
      </x:c>
      <x:c r="B102" s="62" t="str">
        <x:v>05 | ABAP SQL &amp; Database Access</x:v>
      </x:c>
      <x:c r="C102" s="62" t="str">
        <x:v>ABAP SQL &amp; Database Access</x:v>
      </x:c>
      <x:c r="D102" s="62" t="str">
        <x:v>Table buffering and bypassing buffer: concepts and cautions</x:v>
      </x:c>
      <x:c r="E102" s="62" t="str">
        <x:v>For “Table buffering and bypassing buffer: concepts and cautions”: explain its purpose and key rules, demonstrate a small example or trace, handle one common edge case/failure, and name a relevant best practice or trade-off.</x:v>
      </x:c>
      <x:c r="F102" s="62" t="str">
        <x:v>Core</x:v>
      </x:c>
      <x:c r="G102" s="62" t="str">
        <x:v>P2</x:v>
      </x:c>
      <x:c r="H102" s="62" t="str">
        <x:v>Not Started</x:v>
      </x:c>
      <x:c r="I102" s="62"/>
      <x:c r="J102" s="66"/>
      <x:c r="K102" s="62" t="str"/>
      <x:c r="L102" s="62" t="str">
        <x:v>Core ABAP learning journey (Resources)</x:v>
      </x:c>
    </x:row>
    <x:row r="103" ht="40" customHeight="1">
      <x:c r="A103" s="62" t="str">
        <x:v>ABAP-099</x:v>
      </x:c>
      <x:c r="B103" s="62" t="str">
        <x:v>05 | ABAP SQL &amp; Database Access</x:v>
      </x:c>
      <x:c r="C103" s="62" t="str">
        <x:v>ABAP SQL &amp; Database Access</x:v>
      </x:c>
      <x:c r="D103" s="62" t="str">
        <x:v>SQL injection awareness and safe dynamic SQL</x:v>
      </x:c>
      <x:c r="E103" s="62" t="str">
        <x:v>For “SQL injection awareness and safe dynamic SQL”: explain its purpose and key rules, demonstrate a small example or trace, handle one common edge case/failure, and name a relevant best practice or trade-off.</x:v>
      </x:c>
      <x:c r="F103" s="62" t="str">
        <x:v>Core</x:v>
      </x:c>
      <x:c r="G103" s="62" t="str">
        <x:v>P1</x:v>
      </x:c>
      <x:c r="H103" s="62" t="str">
        <x:v>Not Started</x:v>
      </x:c>
      <x:c r="I103" s="62"/>
      <x:c r="J103" s="66"/>
      <x:c r="K103" s="62" t="str"/>
      <x:c r="L103" s="62" t="str">
        <x:v>Core ABAP learning journey (Resources)</x:v>
      </x:c>
    </x:row>
    <x:row r="104" ht="40" customHeight="1">
      <x:c r="A104" s="62" t="str">
        <x:v>ABAP-100</x:v>
      </x:c>
      <x:c r="B104" s="62" t="str">
        <x:v>06 | ABAP Dictionary (DDIC) &amp; Data Modeling</x:v>
      </x:c>
      <x:c r="C104" s="62" t="str">
        <x:v>ABAP Dictionary (DDIC) &amp; Data Modeling</x:v>
      </x:c>
      <x:c r="D104" s="62" t="str">
        <x:v>Domains: data type, length, decimals and value range</x:v>
      </x:c>
      <x:c r="E104" s="62" t="str">
        <x:v>For “Domains: data type, length, decimals and value range”: explain its purpose and key rules, demonstrate a small example or trace, handle one common edge case/failure, and name a relevant best practice or trade-off.</x:v>
      </x:c>
      <x:c r="F104" s="62" t="str">
        <x:v>Core</x:v>
      </x:c>
      <x:c r="G104" s="62" t="str">
        <x:v>P1</x:v>
      </x:c>
      <x:c r="H104" s="62" t="str">
        <x:v>Not Started</x:v>
      </x:c>
      <x:c r="I104" s="62"/>
      <x:c r="J104" s="66"/>
      <x:c r="K104" s="62" t="str"/>
      <x:c r="L104" s="62" t="str">
        <x:v>Core ABAP learning journey (Resources)</x:v>
      </x:c>
    </x:row>
    <x:row r="105" ht="40" customHeight="1">
      <x:c r="A105" s="62" t="str">
        <x:v>ABAP-101</x:v>
      </x:c>
      <x:c r="B105" s="62" t="str">
        <x:v>06 | ABAP Dictionary (DDIC) &amp; Data Modeling</x:v>
      </x:c>
      <x:c r="C105" s="62" t="str">
        <x:v>ABAP Dictionary (DDIC) &amp; Data Modeling</x:v>
      </x:c>
      <x:c r="D105" s="62" t="str">
        <x:v>Data elements, labels and documentation</x:v>
      </x:c>
      <x:c r="E105" s="62" t="str">
        <x:v>For “Data elements, labels and documentation”: explain its purpose and key rules, demonstrate a small example or trace, handle one common edge case/failure, and name a relevant best practice or trade-off.</x:v>
      </x:c>
      <x:c r="F105" s="62" t="str">
        <x:v>Core</x:v>
      </x:c>
      <x:c r="G105" s="62" t="str">
        <x:v>P1</x:v>
      </x:c>
      <x:c r="H105" s="62" t="str">
        <x:v>Not Started</x:v>
      </x:c>
      <x:c r="I105" s="62"/>
      <x:c r="J105" s="66"/>
      <x:c r="K105" s="62" t="str"/>
      <x:c r="L105" s="62" t="str">
        <x:v>Core ABAP learning journey (Resources)</x:v>
      </x:c>
    </x:row>
    <x:row r="106" ht="40" customHeight="1">
      <x:c r="A106" s="62" t="str">
        <x:v>ABAP-102</x:v>
      </x:c>
      <x:c r="B106" s="62" t="str">
        <x:v>06 | ABAP Dictionary (DDIC) &amp; Data Modeling</x:v>
      </x:c>
      <x:c r="C106" s="62" t="str">
        <x:v>ABAP Dictionary (DDIC) &amp; Data Modeling</x:v>
      </x:c>
      <x:c r="D106" s="62" t="str">
        <x:v>Transparent database tables and field definitions</x:v>
      </x:c>
      <x:c r="E106" s="62" t="str">
        <x:v>For “Transparent database tables and field definitions”: explain its purpose and key rules, demonstrate a small example or trace, handle one common edge case/failure, and name a relevant best practice or trade-off.</x:v>
      </x:c>
      <x:c r="F106" s="62" t="str">
        <x:v>Core</x:v>
      </x:c>
      <x:c r="G106" s="62" t="str">
        <x:v>P1</x:v>
      </x:c>
      <x:c r="H106" s="62" t="str">
        <x:v>Not Started</x:v>
      </x:c>
      <x:c r="I106" s="62"/>
      <x:c r="J106" s="66"/>
      <x:c r="K106" s="62" t="str"/>
      <x:c r="L106" s="62" t="str">
        <x:v>Core ABAP learning journey (Resources)</x:v>
      </x:c>
    </x:row>
    <x:row r="107" ht="40" customHeight="1">
      <x:c r="A107" s="62" t="str">
        <x:v>ABAP-103</x:v>
      </x:c>
      <x:c r="B107" s="62" t="str">
        <x:v>06 | ABAP Dictionary (DDIC) &amp; Data Modeling</x:v>
      </x:c>
      <x:c r="C107" s="62" t="str">
        <x:v>ABAP Dictionary (DDIC) &amp; Data Modeling</x:v>
      </x:c>
      <x:c r="D107" s="62" t="str">
        <x:v>Primary keys, client field MANDT and key design</x:v>
      </x:c>
      <x:c r="E107" s="62" t="str">
        <x:v>For “Primary keys, client field MANDT and key design”: explain its purpose and key rules, demonstrate a small example or trace, handle one common edge case/failure, and name a relevant best practice or trade-off.</x:v>
      </x:c>
      <x:c r="F107" s="62" t="str">
        <x:v>Core</x:v>
      </x:c>
      <x:c r="G107" s="62" t="str">
        <x:v>P1</x:v>
      </x:c>
      <x:c r="H107" s="62" t="str">
        <x:v>Not Started</x:v>
      </x:c>
      <x:c r="I107" s="62"/>
      <x:c r="J107" s="66"/>
      <x:c r="K107" s="62" t="str"/>
      <x:c r="L107" s="62" t="str">
        <x:v>Core ABAP learning journey (Resources)</x:v>
      </x:c>
    </x:row>
    <x:row r="108" ht="40" customHeight="1">
      <x:c r="A108" s="62" t="str">
        <x:v>ABAP-104</x:v>
      </x:c>
      <x:c r="B108" s="62" t="str">
        <x:v>06 | ABAP Dictionary (DDIC) &amp; Data Modeling</x:v>
      </x:c>
      <x:c r="C108" s="62" t="str">
        <x:v>ABAP Dictionary (DDIC) &amp; Data Modeling</x:v>
      </x:c>
      <x:c r="D108" s="62" t="str">
        <x:v>Foreign keys, check tables and cardinality</x:v>
      </x:c>
      <x:c r="E108" s="62" t="str">
        <x:v>For “Foreign keys, check tables and cardinality”: explain its purpose and key rules, demonstrate a small example or trace, handle one common edge case/failure, and name a relevant best practice or trade-off.</x:v>
      </x:c>
      <x:c r="F108" s="62" t="str">
        <x:v>Core</x:v>
      </x:c>
      <x:c r="G108" s="62" t="str">
        <x:v>P1</x:v>
      </x:c>
      <x:c r="H108" s="62" t="str">
        <x:v>Not Started</x:v>
      </x:c>
      <x:c r="I108" s="62"/>
      <x:c r="J108" s="66"/>
      <x:c r="K108" s="62" t="str"/>
      <x:c r="L108" s="62" t="str">
        <x:v>Core ABAP learning journey (Resources)</x:v>
      </x:c>
    </x:row>
    <x:row r="109" ht="40" customHeight="1">
      <x:c r="A109" s="62" t="str">
        <x:v>ABAP-105</x:v>
      </x:c>
      <x:c r="B109" s="62" t="str">
        <x:v>06 | ABAP Dictionary (DDIC) &amp; Data Modeling</x:v>
      </x:c>
      <x:c r="C109" s="62" t="str">
        <x:v>ABAP Dictionary (DDIC) &amp; Data Modeling</x:v>
      </x:c>
      <x:c r="D109" s="62" t="str">
        <x:v>Value tables vs foreign-key checks</x:v>
      </x:c>
      <x:c r="E109" s="62" t="str">
        <x:v>For “Value tables vs foreign-key checks”: explain its purpose and key rules, demonstrate a small example or trace, handle one common edge case/failure, and name a relevant best practice or trade-off.</x:v>
      </x:c>
      <x:c r="F109" s="62" t="str">
        <x:v>Core</x:v>
      </x:c>
      <x:c r="G109" s="62" t="str">
        <x:v>P2</x:v>
      </x:c>
      <x:c r="H109" s="62" t="str">
        <x:v>Not Started</x:v>
      </x:c>
      <x:c r="I109" s="62"/>
      <x:c r="J109" s="66"/>
      <x:c r="K109" s="62" t="str"/>
      <x:c r="L109" s="62" t="str">
        <x:v>Core ABAP learning journey (Resources)</x:v>
      </x:c>
    </x:row>
    <x:row r="110" ht="40" customHeight="1">
      <x:c r="A110" s="62" t="str">
        <x:v>ABAP-106</x:v>
      </x:c>
      <x:c r="B110" s="62" t="str">
        <x:v>06 | ABAP Dictionary (DDIC) &amp; Data Modeling</x:v>
      </x:c>
      <x:c r="C110" s="62" t="str">
        <x:v>ABAP Dictionary (DDIC) &amp; Data Modeling</x:v>
      </x:c>
      <x:c r="D110" s="62" t="str">
        <x:v>Structures and table types in DDIC</x:v>
      </x:c>
      <x:c r="E110" s="62" t="str">
        <x:v>For “Structures and table types in DDIC”: explain its purpose and key rules, demonstrate a small example or trace, handle one common edge case/failure, and name a relevant best practice or trade-off.</x:v>
      </x:c>
      <x:c r="F110" s="62" t="str">
        <x:v>Core</x:v>
      </x:c>
      <x:c r="G110" s="62" t="str">
        <x:v>P1</x:v>
      </x:c>
      <x:c r="H110" s="62" t="str">
        <x:v>Not Started</x:v>
      </x:c>
      <x:c r="I110" s="62"/>
      <x:c r="J110" s="66"/>
      <x:c r="K110" s="62" t="str"/>
      <x:c r="L110" s="62" t="str">
        <x:v>Core ABAP learning journey (Resources)</x:v>
      </x:c>
    </x:row>
    <x:row r="111" ht="40" customHeight="1">
      <x:c r="A111" s="62" t="str">
        <x:v>ABAP-107</x:v>
      </x:c>
      <x:c r="B111" s="62" t="str">
        <x:v>06 | ABAP Dictionary (DDIC) &amp; Data Modeling</x:v>
      </x:c>
      <x:c r="C111" s="62" t="str">
        <x:v>ABAP Dictionary (DDIC) &amp; Data Modeling</x:v>
      </x:c>
      <x:c r="D111" s="62" t="str">
        <x:v>Views: database view, projection/maintenance view concepts</x:v>
      </x:c>
      <x:c r="E111" s="62" t="str">
        <x:v>For “Views: database view, projection/maintenance view concepts”: explain its purpose and key rules, demonstrate a small example or trace, handle one common edge case/failure, and name a relevant best practice or trade-off.</x:v>
      </x:c>
      <x:c r="F111" s="62" t="str">
        <x:v>Core</x:v>
      </x:c>
      <x:c r="G111" s="62" t="str">
        <x:v>P2</x:v>
      </x:c>
      <x:c r="H111" s="62" t="str">
        <x:v>Not Started</x:v>
      </x:c>
      <x:c r="I111" s="62"/>
      <x:c r="J111" s="66"/>
      <x:c r="K111" s="62" t="str"/>
      <x:c r="L111" s="62" t="str">
        <x:v>Core ABAP learning journey (Resources)</x:v>
      </x:c>
    </x:row>
    <x:row r="112" ht="40" customHeight="1">
      <x:c r="A112" s="62" t="str">
        <x:v>ABAP-108</x:v>
      </x:c>
      <x:c r="B112" s="62" t="str">
        <x:v>06 | ABAP Dictionary (DDIC) &amp; Data Modeling</x:v>
      </x:c>
      <x:c r="C112" s="62" t="str">
        <x:v>ABAP Dictionary (DDIC) &amp; Data Modeling</x:v>
      </x:c>
      <x:c r="D112" s="62" t="str">
        <x:v>Search helps: elementary, collective and search help exit</x:v>
      </x:c>
      <x:c r="E112" s="62" t="str">
        <x:v>For “Search helps: elementary, collective and search help exit”: explain its purpose and key rules, demonstrate a small example or trace, handle one common edge case/failure, and name a relevant best practice or trade-off.</x:v>
      </x:c>
      <x:c r="F112" s="62" t="str">
        <x:v>Core</x:v>
      </x:c>
      <x:c r="G112" s="62" t="str">
        <x:v>P1</x:v>
      </x:c>
      <x:c r="H112" s="62" t="str">
        <x:v>Not Started</x:v>
      </x:c>
      <x:c r="I112" s="62"/>
      <x:c r="J112" s="66"/>
      <x:c r="K112" s="62" t="str"/>
      <x:c r="L112" s="62" t="str">
        <x:v>Core ABAP learning journey (Resources)</x:v>
      </x:c>
    </x:row>
    <x:row r="113" ht="40" customHeight="1">
      <x:c r="A113" s="62" t="str">
        <x:v>ABAP-109</x:v>
      </x:c>
      <x:c r="B113" s="62" t="str">
        <x:v>06 | ABAP Dictionary (DDIC) &amp; Data Modeling</x:v>
      </x:c>
      <x:c r="C113" s="62" t="str">
        <x:v>ABAP Dictionary (DDIC) &amp; Data Modeling</x:v>
      </x:c>
      <x:c r="D113" s="62" t="str">
        <x:v>Lock objects and generated enqueue/dequeue modules</x:v>
      </x:c>
      <x:c r="E113" s="62" t="str">
        <x:v>For “Lock objects and generated enqueue/dequeue modules”: explain its purpose and key rules, demonstrate a small example or trace, handle one common edge case/failure, and name a relevant best practice or trade-off.</x:v>
      </x:c>
      <x:c r="F113" s="62" t="str">
        <x:v>Core</x:v>
      </x:c>
      <x:c r="G113" s="62" t="str">
        <x:v>P1</x:v>
      </x:c>
      <x:c r="H113" s="62" t="str">
        <x:v>Not Started</x:v>
      </x:c>
      <x:c r="I113" s="62"/>
      <x:c r="J113" s="66"/>
      <x:c r="K113" s="62" t="str"/>
      <x:c r="L113" s="62" t="str">
        <x:v>Core ABAP learning journey (Resources)</x:v>
      </x:c>
    </x:row>
    <x:row r="114" ht="40" customHeight="1">
      <x:c r="A114" s="62" t="str">
        <x:v>ABAP-110</x:v>
      </x:c>
      <x:c r="B114" s="62" t="str">
        <x:v>06 | ABAP Dictionary (DDIC) &amp; Data Modeling</x:v>
      </x:c>
      <x:c r="C114" s="62" t="str">
        <x:v>ABAP Dictionary (DDIC) &amp; Data Modeling</x:v>
      </x:c>
      <x:c r="D114" s="62" t="str">
        <x:v>Append structures and enhancements to SAP tables</x:v>
      </x:c>
      <x:c r="E114" s="62" t="str">
        <x:v>For “Append structures and enhancements to SAP tables”: explain its purpose and key rules, demonstrate a small example or trace, handle one common edge case/failure, and name a relevant best practice or trade-off.</x:v>
      </x:c>
      <x:c r="F114" s="62" t="str">
        <x:v>Core</x:v>
      </x:c>
      <x:c r="G114" s="62" t="str">
        <x:v>P1</x:v>
      </x:c>
      <x:c r="H114" s="62" t="str">
        <x:v>Not Started</x:v>
      </x:c>
      <x:c r="I114" s="62"/>
      <x:c r="J114" s="66"/>
      <x:c r="K114" s="62" t="str"/>
      <x:c r="L114" s="62" t="str">
        <x:v>Core ABAP learning journey (Resources)</x:v>
      </x:c>
    </x:row>
    <x:row r="115" ht="40" customHeight="1">
      <x:c r="A115" s="62" t="str">
        <x:v>ABAP-111</x:v>
      </x:c>
      <x:c r="B115" s="62" t="str">
        <x:v>06 | ABAP Dictionary (DDIC) &amp; Data Modeling</x:v>
      </x:c>
      <x:c r="C115" s="62" t="str">
        <x:v>ABAP Dictionary (DDIC) &amp; Data Modeling</x:v>
      </x:c>
      <x:c r="D115" s="62" t="str">
        <x:v>Includes and reusable table structures</x:v>
      </x:c>
      <x:c r="E115" s="62" t="str">
        <x:v>For “Includes and reusable table structures”: explain its purpose and key rules, demonstrate a small example or trace, handle one common edge case/failure, and name a relevant best practice or trade-off.</x:v>
      </x:c>
      <x:c r="F115" s="62" t="str">
        <x:v>Core</x:v>
      </x:c>
      <x:c r="G115" s="62" t="str">
        <x:v>P1</x:v>
      </x:c>
      <x:c r="H115" s="62" t="str">
        <x:v>Not Started</x:v>
      </x:c>
      <x:c r="I115" s="62"/>
      <x:c r="J115" s="66"/>
      <x:c r="K115" s="62" t="str"/>
      <x:c r="L115" s="62" t="str">
        <x:v>Core ABAP learning journey (Resources)</x:v>
      </x:c>
    </x:row>
    <x:row r="116" ht="40" customHeight="1">
      <x:c r="A116" s="62" t="str">
        <x:v>ABAP-112</x:v>
      </x:c>
      <x:c r="B116" s="62" t="str">
        <x:v>06 | ABAP Dictionary (DDIC) &amp; Data Modeling</x:v>
      </x:c>
      <x:c r="C116" s="62" t="str">
        <x:v>ABAP Dictionary (DDIC) &amp; Data Modeling</x:v>
      </x:c>
      <x:c r="D116" s="62" t="str">
        <x:v>Table technical settings and data class/size category</x:v>
      </x:c>
      <x:c r="E116" s="62" t="str">
        <x:v>For “Table technical settings and data class/size category”: explain its purpose and key rules, demonstrate a small example or trace, handle one common edge case/failure, and name a relevant best practice or trade-off.</x:v>
      </x:c>
      <x:c r="F116" s="62" t="str">
        <x:v>Core</x:v>
      </x:c>
      <x:c r="G116" s="62" t="str">
        <x:v>P2</x:v>
      </x:c>
      <x:c r="H116" s="62" t="str">
        <x:v>Not Started</x:v>
      </x:c>
      <x:c r="I116" s="62"/>
      <x:c r="J116" s="66"/>
      <x:c r="K116" s="62" t="str"/>
      <x:c r="L116" s="62" t="str">
        <x:v>Core ABAP learning journey (Resources)</x:v>
      </x:c>
    </x:row>
    <x:row r="117" ht="40" customHeight="1">
      <x:c r="A117" s="62" t="str">
        <x:v>ABAP-113</x:v>
      </x:c>
      <x:c r="B117" s="62" t="str">
        <x:v>06 | ABAP Dictionary (DDIC) &amp; Data Modeling</x:v>
      </x:c>
      <x:c r="C117" s="62" t="str">
        <x:v>ABAP Dictionary (DDIC) &amp; Data Modeling</x:v>
      </x:c>
      <x:c r="D117" s="62" t="str">
        <x:v>Buffering types and when buffering is unsuitable</x:v>
      </x:c>
      <x:c r="E117" s="62" t="str">
        <x:v>For “Buffering types and when buffering is unsuitable”: explain its purpose and key rules, demonstrate a small example or trace, handle one common edge case/failure, and name a relevant best practice or trade-off.</x:v>
      </x:c>
      <x:c r="F117" s="62" t="str">
        <x:v>Core</x:v>
      </x:c>
      <x:c r="G117" s="62" t="str">
        <x:v>P2</x:v>
      </x:c>
      <x:c r="H117" s="62" t="str">
        <x:v>Not Started</x:v>
      </x:c>
      <x:c r="I117" s="62"/>
      <x:c r="J117" s="66"/>
      <x:c r="K117" s="62" t="str"/>
      <x:c r="L117" s="62" t="str">
        <x:v>Core ABAP learning journey (Resources)</x:v>
      </x:c>
    </x:row>
    <x:row r="118" ht="40" customHeight="1">
      <x:c r="A118" s="62" t="str">
        <x:v>ABAP-114</x:v>
      </x:c>
      <x:c r="B118" s="62" t="str">
        <x:v>06 | ABAP Dictionary (DDIC) &amp; Data Modeling</x:v>
      </x:c>
      <x:c r="C118" s="62" t="str">
        <x:v>ABAP Dictionary (DDIC) &amp; Data Modeling</x:v>
      </x:c>
      <x:c r="D118" s="62" t="str">
        <x:v>Currency/unit reference fields and semantic consistency</x:v>
      </x:c>
      <x:c r="E118" s="62" t="str">
        <x:v>For “Currency/unit reference fields and semantic consistency”: explain its purpose and key rules, demonstrate a small example or trace, handle one common edge case/failure, and name a relevant best practice or trade-off.</x:v>
      </x:c>
      <x:c r="F118" s="62" t="str">
        <x:v>Core</x:v>
      </x:c>
      <x:c r="G118" s="62" t="str">
        <x:v>P1</x:v>
      </x:c>
      <x:c r="H118" s="62" t="str">
        <x:v>Not Started</x:v>
      </x:c>
      <x:c r="I118" s="62"/>
      <x:c r="J118" s="66"/>
      <x:c r="K118" s="62" t="str"/>
      <x:c r="L118" s="62" t="str">
        <x:v>Core ABAP learning journey (Resources)</x:v>
      </x:c>
    </x:row>
    <x:row r="119" ht="40" customHeight="1">
      <x:c r="A119" s="62" t="str">
        <x:v>ABAP-115</x:v>
      </x:c>
      <x:c r="B119" s="62" t="str">
        <x:v>06 | ABAP Dictionary (DDIC) &amp; Data Modeling</x:v>
      </x:c>
      <x:c r="C119" s="62" t="str">
        <x:v>ABAP Dictionary (DDIC) &amp; Data Modeling</x:v>
      </x:c>
      <x:c r="D119" s="62" t="str">
        <x:v>Indexes: primary/secondary and index trade-offs</x:v>
      </x:c>
      <x:c r="E119" s="62" t="str">
        <x:v>For “Indexes: primary/secondary and index trade-offs”: explain its purpose and key rules, demonstrate a small example or trace, handle one common edge case/failure, and name a relevant best practice or trade-off.</x:v>
      </x:c>
      <x:c r="F119" s="62" t="str">
        <x:v>Core</x:v>
      </x:c>
      <x:c r="G119" s="62" t="str">
        <x:v>P2</x:v>
      </x:c>
      <x:c r="H119" s="62" t="str">
        <x:v>Not Started</x:v>
      </x:c>
      <x:c r="I119" s="62"/>
      <x:c r="J119" s="66"/>
      <x:c r="K119" s="62" t="str"/>
      <x:c r="L119" s="62" t="str">
        <x:v>Core ABAP learning journey (Resources)</x:v>
      </x:c>
    </x:row>
    <x:row r="120" ht="40" customHeight="1">
      <x:c r="A120" s="62" t="str">
        <x:v>ABAP-116</x:v>
      </x:c>
      <x:c r="B120" s="62" t="str">
        <x:v>06 | ABAP Dictionary (DDIC) &amp; Data Modeling</x:v>
      </x:c>
      <x:c r="C120" s="62" t="str">
        <x:v>ABAP Dictionary (DDIC) &amp; Data Modeling</x:v>
      </x:c>
      <x:c r="D120" s="62" t="str">
        <x:v>Number ranges and SNRO concepts</x:v>
      </x:c>
      <x:c r="E120" s="62" t="str">
        <x:v>For “Number ranges and SNRO concepts”: explain its purpose and key rules, demonstrate a small example or trace, handle one common edge case/failure, and name a relevant best practice or trade-off.</x:v>
      </x:c>
      <x:c r="F120" s="62" t="str">
        <x:v>Core</x:v>
      </x:c>
      <x:c r="G120" s="62" t="str">
        <x:v>P1</x:v>
      </x:c>
      <x:c r="H120" s="62" t="str">
        <x:v>Not Started</x:v>
      </x:c>
      <x:c r="I120" s="62"/>
      <x:c r="J120" s="66"/>
      <x:c r="K120" s="62" t="str"/>
      <x:c r="L120" s="62" t="str">
        <x:v>Core ABAP learning journey (Resources)</x:v>
      </x:c>
    </x:row>
    <x:row r="121" ht="40" customHeight="1">
      <x:c r="A121" s="62" t="str">
        <x:v>ABAP-117</x:v>
      </x:c>
      <x:c r="B121" s="62" t="str">
        <x:v>06 | ABAP Dictionary (DDIC) &amp; Data Modeling</x:v>
      </x:c>
      <x:c r="C121" s="62" t="str">
        <x:v>ABAP Dictionary (DDIC) &amp; Data Modeling</x:v>
      </x:c>
      <x:c r="D121" s="62" t="str">
        <x:v>Activation dependencies and where-used analysis</x:v>
      </x:c>
      <x:c r="E121" s="62" t="str">
        <x:v>For “Activation dependencies and where-used analysis”: explain its purpose and key rules, demonstrate a small example or trace, handle one common edge case/failure, and name a relevant best practice or trade-off.</x:v>
      </x:c>
      <x:c r="F121" s="62" t="str">
        <x:v>Core</x:v>
      </x:c>
      <x:c r="G121" s="62" t="str">
        <x:v>P1</x:v>
      </x:c>
      <x:c r="H121" s="62" t="str">
        <x:v>Not Started</x:v>
      </x:c>
      <x:c r="I121" s="62"/>
      <x:c r="J121" s="66"/>
      <x:c r="K121" s="62" t="str"/>
      <x:c r="L121" s="62" t="str">
        <x:v>Core ABAP learning journey (Resources)</x:v>
      </x:c>
    </x:row>
    <x:row r="122" ht="40" customHeight="1">
      <x:c r="A122" s="62" t="str">
        <x:v>ABAP-118</x:v>
      </x:c>
      <x:c r="B122" s="62" t="str">
        <x:v>07 | Reports &amp; Selection Screens</x:v>
      </x:c>
      <x:c r="C122" s="62" t="str">
        <x:v>Reports &amp; Selection Screens</x:v>
      </x:c>
      <x:c r="D122" s="62" t="str">
        <x:v>REPORT and event blocks: INITIALIZATION / START-OF-SELECTION</x:v>
      </x:c>
      <x:c r="E122" s="62" t="str">
        <x:v>For “REPORT and event blocks: INITIALIZATION / START-OF-SELECTION”: explain its purpose and key rules, demonstrate a small example or trace, handle one common edge case/failure, and name a relevant best practice or trade-off.</x:v>
      </x:c>
      <x:c r="F122" s="62" t="str">
        <x:v>Core</x:v>
      </x:c>
      <x:c r="G122" s="62" t="str">
        <x:v>P1</x:v>
      </x:c>
      <x:c r="H122" s="62" t="str">
        <x:v>Not Started</x:v>
      </x:c>
      <x:c r="I122" s="62"/>
      <x:c r="J122" s="66"/>
      <x:c r="K122" s="62" t="str"/>
      <x:c r="L122" s="62" t="str">
        <x:v>Core ABAP learning journey (Resources)</x:v>
      </x:c>
    </x:row>
    <x:row r="123" ht="40" customHeight="1">
      <x:c r="A123" s="62" t="str">
        <x:v>ABAP-119</x:v>
      </x:c>
      <x:c r="B123" s="62" t="str">
        <x:v>07 | Reports &amp; Selection Screens</x:v>
      </x:c>
      <x:c r="C123" s="62" t="str">
        <x:v>Reports &amp; Selection Screens</x:v>
      </x:c>
      <x:c r="D123" s="62" t="str">
        <x:v>AT SELECTION-SCREEN and validation events</x:v>
      </x:c>
      <x:c r="E123" s="62" t="str">
        <x:v>For “AT SELECTION-SCREEN and validation events”: explain its purpose and key rules, demonstrate a small example or trace, handle one common edge case/failure, and name a relevant best practice or trade-off.</x:v>
      </x:c>
      <x:c r="F123" s="62" t="str">
        <x:v>Core</x:v>
      </x:c>
      <x:c r="G123" s="62" t="str">
        <x:v>P1</x:v>
      </x:c>
      <x:c r="H123" s="62" t="str">
        <x:v>Not Started</x:v>
      </x:c>
      <x:c r="I123" s="62"/>
      <x:c r="J123" s="66"/>
      <x:c r="K123" s="62" t="str"/>
      <x:c r="L123" s="62" t="str">
        <x:v>Core ABAP learning journey (Resources)</x:v>
      </x:c>
    </x:row>
    <x:row r="124" ht="40" customHeight="1">
      <x:c r="A124" s="62" t="str">
        <x:v>ABAP-120</x:v>
      </x:c>
      <x:c r="B124" s="62" t="str">
        <x:v>07 | Reports &amp; Selection Screens</x:v>
      </x:c>
      <x:c r="C124" s="62" t="str">
        <x:v>Reports &amp; Selection Screens</x:v>
      </x:c>
      <x:c r="D124" s="62" t="str">
        <x:v>PARAMETERS and SELECT-OPTIONS</x:v>
      </x:c>
      <x:c r="E124" s="62" t="str">
        <x:v>For “PARAMETERS and SELECT-OPTIONS”: explain its purpose and key rules, demonstrate a small example or trace, handle one common edge case/failure, and name a relevant best practice or trade-off.</x:v>
      </x:c>
      <x:c r="F124" s="62" t="str">
        <x:v>Core</x:v>
      </x:c>
      <x:c r="G124" s="62" t="str">
        <x:v>P1</x:v>
      </x:c>
      <x:c r="H124" s="62" t="str">
        <x:v>Not Started</x:v>
      </x:c>
      <x:c r="I124" s="62"/>
      <x:c r="J124" s="66"/>
      <x:c r="K124" s="62" t="str"/>
      <x:c r="L124" s="62" t="str">
        <x:v>Core ABAP learning journey (Resources)</x:v>
      </x:c>
    </x:row>
    <x:row r="125" ht="40" customHeight="1">
      <x:c r="A125" s="62" t="str">
        <x:v>ABAP-121</x:v>
      </x:c>
      <x:c r="B125" s="62" t="str">
        <x:v>07 | Reports &amp; Selection Screens</x:v>
      </x:c>
      <x:c r="C125" s="62" t="str">
        <x:v>Reports &amp; Selection Screens</x:v>
      </x:c>
      <x:c r="D125" s="62" t="str">
        <x:v>Selection-screen blocks, frames, comments and tabs</x:v>
      </x:c>
      <x:c r="E125" s="62" t="str">
        <x:v>For “Selection-screen blocks, frames, comments and tabs”: explain its purpose and key rules, demonstrate a small example or trace, handle one common edge case/failure, and name a relevant best practice or trade-off.</x:v>
      </x:c>
      <x:c r="F125" s="62" t="str">
        <x:v>Core</x:v>
      </x:c>
      <x:c r="G125" s="62" t="str">
        <x:v>P2</x:v>
      </x:c>
      <x:c r="H125" s="62" t="str">
        <x:v>Not Started</x:v>
      </x:c>
      <x:c r="I125" s="62"/>
      <x:c r="J125" s="66"/>
      <x:c r="K125" s="62" t="str"/>
      <x:c r="L125" s="62" t="str">
        <x:v>Core ABAP learning journey (Resources)</x:v>
      </x:c>
    </x:row>
    <x:row r="126" ht="40" customHeight="1">
      <x:c r="A126" s="62" t="str">
        <x:v>ABAP-122</x:v>
      </x:c>
      <x:c r="B126" s="62" t="str">
        <x:v>07 | Reports &amp; Selection Screens</x:v>
      </x:c>
      <x:c r="C126" s="62" t="str">
        <x:v>Reports &amp; Selection Screens</x:v>
      </x:c>
      <x:c r="D126" s="62" t="str">
        <x:v>Default values and dynamic screen modification</x:v>
      </x:c>
      <x:c r="E126" s="62" t="str">
        <x:v>For “Default values and dynamic screen modification”: explain its purpose and key rules, demonstrate a small example or trace, handle one common edge case/failure, and name a relevant best practice or trade-off.</x:v>
      </x:c>
      <x:c r="F126" s="62" t="str">
        <x:v>Core</x:v>
      </x:c>
      <x:c r="G126" s="62" t="str">
        <x:v>P2</x:v>
      </x:c>
      <x:c r="H126" s="62" t="str">
        <x:v>Not Started</x:v>
      </x:c>
      <x:c r="I126" s="62"/>
      <x:c r="J126" s="66"/>
      <x:c r="K126" s="62" t="str"/>
      <x:c r="L126" s="62" t="str">
        <x:v>Core ABAP learning journey (Resources)</x:v>
      </x:c>
    </x:row>
    <x:row r="127" ht="40" customHeight="1">
      <x:c r="A127" s="62" t="str">
        <x:v>ABAP-123</x:v>
      </x:c>
      <x:c r="B127" s="62" t="str">
        <x:v>07 | Reports &amp; Selection Screens</x:v>
      </x:c>
      <x:c r="C127" s="62" t="str">
        <x:v>Reports &amp; Selection Screens</x:v>
      </x:c>
      <x:c r="D127" s="62" t="str">
        <x:v>AT SELECTION-SCREEN OUTPUT and LOOP AT SCREEN</x:v>
      </x:c>
      <x:c r="E127" s="62" t="str">
        <x:v>For “AT SELECTION-SCREEN OUTPUT and LOOP AT SCREEN”: explain its purpose and key rules, demonstrate a small example or trace, handle one common edge case/failure, and name a relevant best practice or trade-off.</x:v>
      </x:c>
      <x:c r="F127" s="62" t="str">
        <x:v>Core</x:v>
      </x:c>
      <x:c r="G127" s="62" t="str">
        <x:v>P2</x:v>
      </x:c>
      <x:c r="H127" s="62" t="str">
        <x:v>Not Started</x:v>
      </x:c>
      <x:c r="I127" s="62"/>
      <x:c r="J127" s="66"/>
      <x:c r="K127" s="62" t="str"/>
      <x:c r="L127" s="62" t="str">
        <x:v>Core ABAP learning journey (Resources)</x:v>
      </x:c>
    </x:row>
    <x:row r="128" ht="40" customHeight="1">
      <x:c r="A128" s="62" t="str">
        <x:v>ABAP-124</x:v>
      </x:c>
      <x:c r="B128" s="62" t="str">
        <x:v>07 | Reports &amp; Selection Screens</x:v>
      </x:c>
      <x:c r="C128" s="62" t="str">
        <x:v>Reports &amp; Selection Screens</x:v>
      </x:c>
      <x:c r="D128" s="62" t="str">
        <x:v>F4 help: dictionary search help and POV events</x:v>
      </x:c>
      <x:c r="E128" s="62" t="str">
        <x:v>For “F4 help: dictionary search help and POV events”: explain its purpose and key rules, demonstrate a small example or trace, handle one common edge case/failure, and name a relevant best practice or trade-off.</x:v>
      </x:c>
      <x:c r="F128" s="62" t="str">
        <x:v>Core</x:v>
      </x:c>
      <x:c r="G128" s="62" t="str">
        <x:v>P1</x:v>
      </x:c>
      <x:c r="H128" s="62" t="str">
        <x:v>Not Started</x:v>
      </x:c>
      <x:c r="I128" s="62"/>
      <x:c r="J128" s="66"/>
      <x:c r="K128" s="62" t="str"/>
      <x:c r="L128" s="62" t="str">
        <x:v>Core ABAP learning journey (Resources)</x:v>
      </x:c>
    </x:row>
    <x:row r="129" ht="40" customHeight="1">
      <x:c r="A129" s="62" t="str">
        <x:v>ABAP-125</x:v>
      </x:c>
      <x:c r="B129" s="62" t="str">
        <x:v>07 | Reports &amp; Selection Screens</x:v>
      </x:c>
      <x:c r="C129" s="62" t="str">
        <x:v>Reports &amp; Selection Screens</x:v>
      </x:c>
      <x:c r="D129" s="62" t="str">
        <x:v>Selection variants and variant protection</x:v>
      </x:c>
      <x:c r="E129" s="62" t="str">
        <x:v>For “Selection variants and variant protection”: explain its purpose and key rules, demonstrate a small example or trace, handle one common edge case/failure, and name a relevant best practice or trade-off.</x:v>
      </x:c>
      <x:c r="F129" s="62" t="str">
        <x:v>Core</x:v>
      </x:c>
      <x:c r="G129" s="62" t="str">
        <x:v>P1</x:v>
      </x:c>
      <x:c r="H129" s="62" t="str">
        <x:v>Not Started</x:v>
      </x:c>
      <x:c r="I129" s="62"/>
      <x:c r="J129" s="66"/>
      <x:c r="K129" s="62" t="str"/>
      <x:c r="L129" s="62" t="str">
        <x:v>Core ABAP learning journey (Resources)</x:v>
      </x:c>
    </x:row>
    <x:row r="130" ht="40" customHeight="1">
      <x:c r="A130" s="62" t="str">
        <x:v>ABAP-126</x:v>
      </x:c>
      <x:c r="B130" s="62" t="str">
        <x:v>07 | Reports &amp; Selection Screens</x:v>
      </x:c>
      <x:c r="C130" s="62" t="str">
        <x:v>Reports &amp; Selection Screens</x:v>
      </x:c>
      <x:c r="D130" s="62" t="str">
        <x:v>Select-options ranges: SIGN, OPTION, LOW, HIGH</x:v>
      </x:c>
      <x:c r="E130" s="62" t="str">
        <x:v>For “Select-options ranges: SIGN, OPTION, LOW, HIGH”: explain its purpose and key rules, demonstrate a small example or trace, handle one common edge case/failure, and name a relevant best practice or trade-off.</x:v>
      </x:c>
      <x:c r="F130" s="62" t="str">
        <x:v>Core</x:v>
      </x:c>
      <x:c r="G130" s="62" t="str">
        <x:v>P1</x:v>
      </x:c>
      <x:c r="H130" s="62" t="str">
        <x:v>Not Started</x:v>
      </x:c>
      <x:c r="I130" s="62"/>
      <x:c r="J130" s="66"/>
      <x:c r="K130" s="62" t="str"/>
      <x:c r="L130" s="62" t="str">
        <x:v>Core ABAP learning journey (Resources)</x:v>
      </x:c>
    </x:row>
    <x:row r="131" ht="40" customHeight="1">
      <x:c r="A131" s="62" t="str">
        <x:v>ABAP-127</x:v>
      </x:c>
      <x:c r="B131" s="62" t="str">
        <x:v>07 | Reports &amp; Selection Screens</x:v>
      </x:c>
      <x:c r="C131" s="62" t="str">
        <x:v>Reports &amp; Selection Screens</x:v>
      </x:c>
      <x:c r="D131" s="62" t="str">
        <x:v>Input validation and user-friendly error messages</x:v>
      </x:c>
      <x:c r="E131" s="62" t="str">
        <x:v>For “Input validation and user-friendly error messages”: explain its purpose and key rules, demonstrate a small example or trace, handle one common edge case/failure, and name a relevant best practice or trade-off.</x:v>
      </x:c>
      <x:c r="F131" s="62" t="str">
        <x:v>Core</x:v>
      </x:c>
      <x:c r="G131" s="62" t="str">
        <x:v>P1</x:v>
      </x:c>
      <x:c r="H131" s="62" t="str">
        <x:v>Not Started</x:v>
      </x:c>
      <x:c r="I131" s="62"/>
      <x:c r="J131" s="66"/>
      <x:c r="K131" s="62" t="str"/>
      <x:c r="L131" s="62" t="str">
        <x:v>Core ABAP learning journey (Resources)</x:v>
      </x:c>
    </x:row>
    <x:row r="132" ht="40" customHeight="1">
      <x:c r="A132" s="62" t="str">
        <x:v>ABAP-128</x:v>
      </x:c>
      <x:c r="B132" s="62" t="str">
        <x:v>07 | Reports &amp; Selection Screens</x:v>
      </x:c>
      <x:c r="C132" s="62" t="str">
        <x:v>Reports &amp; Selection Screens</x:v>
      </x:c>
      <x:c r="D132" s="62" t="str">
        <x:v>Report event order and logical database basics</x:v>
      </x:c>
      <x:c r="E132" s="62" t="str">
        <x:v>For “Report event order and logical database basics”: explain its purpose and key rules, demonstrate a small example or trace, handle one common edge case/failure, and name a relevant best practice or trade-off.</x:v>
      </x:c>
      <x:c r="F132" s="62" t="str">
        <x:v>Core</x:v>
      </x:c>
      <x:c r="G132" s="62" t="str">
        <x:v>P2</x:v>
      </x:c>
      <x:c r="H132" s="62" t="str">
        <x:v>Not Started</x:v>
      </x:c>
      <x:c r="I132" s="62"/>
      <x:c r="J132" s="66"/>
      <x:c r="K132" s="62" t="str"/>
      <x:c r="L132" s="62" t="str">
        <x:v>Core ABAP learning journey (Resources)</x:v>
      </x:c>
    </x:row>
    <x:row r="133" ht="40" customHeight="1">
      <x:c r="A133" s="62" t="str">
        <x:v>ABAP-129</x:v>
      </x:c>
      <x:c r="B133" s="62" t="str">
        <x:v>07 | Reports &amp; Selection Screens</x:v>
      </x:c>
      <x:c r="C133" s="62" t="str">
        <x:v>Reports &amp; Selection Screens</x:v>
      </x:c>
      <x:c r="D133" s="62" t="str">
        <x:v>Background-compatible report design</x:v>
      </x:c>
      <x:c r="E133" s="62" t="str">
        <x:v>For “Background-compatible report design”: explain its purpose and key rules, demonstrate a small example or trace, handle one common edge case/failure, and name a relevant best practice or trade-off.</x:v>
      </x:c>
      <x:c r="F133" s="62" t="str">
        <x:v>Core</x:v>
      </x:c>
      <x:c r="G133" s="62" t="str">
        <x:v>P1</x:v>
      </x:c>
      <x:c r="H133" s="62" t="str">
        <x:v>Not Started</x:v>
      </x:c>
      <x:c r="I133" s="62"/>
      <x:c r="J133" s="66"/>
      <x:c r="K133" s="62" t="str"/>
      <x:c r="L133" s="62" t="str">
        <x:v>Core ABAP learning journey (Resources)</x:v>
      </x:c>
    </x:row>
    <x:row r="134" ht="40" customHeight="1">
      <x:c r="A134" s="62" t="str">
        <x:v>ABAP-130</x:v>
      </x:c>
      <x:c r="B134" s="62" t="str">
        <x:v>07 | Reports &amp; Selection Screens</x:v>
      </x:c>
      <x:c r="C134" s="62" t="str">
        <x:v>Reports &amp; Selection Screens</x:v>
      </x:c>
      <x:c r="D134" s="62" t="str">
        <x:v>Authorization checks in reports</x:v>
      </x:c>
      <x:c r="E134" s="62" t="str">
        <x:v>For “Authorization checks in reports”: explain its purpose and key rules, demonstrate a small example or trace, handle one common edge case/failure, and name a relevant best practice or trade-off.</x:v>
      </x:c>
      <x:c r="F134" s="62" t="str">
        <x:v>Core</x:v>
      </x:c>
      <x:c r="G134" s="62" t="str">
        <x:v>P1</x:v>
      </x:c>
      <x:c r="H134" s="62" t="str">
        <x:v>Not Started</x:v>
      </x:c>
      <x:c r="I134" s="62"/>
      <x:c r="J134" s="66"/>
      <x:c r="K134" s="62" t="str"/>
      <x:c r="L134" s="62" t="str">
        <x:v>Core ABAP learning journey (Resources)</x:v>
      </x:c>
    </x:row>
    <x:row r="135" ht="40" customHeight="1">
      <x:c r="A135" s="62" t="str">
        <x:v>ABAP-131</x:v>
      </x:c>
      <x:c r="B135" s="62" t="str">
        <x:v>08 | Classic ALV &amp; User Interaction</x:v>
      </x:c>
      <x:c r="C135" s="62" t="str">
        <x:v>Classic ALV &amp; User Interaction</x:v>
      </x:c>
      <x:c r="D135" s="62" t="str">
        <x:v>Classic list output vs ALV</x:v>
      </x:c>
      <x:c r="E135" s="62" t="str">
        <x:v>For “Classic list output vs ALV”: explain its purpose and key rules, demonstrate a small example or trace, handle one common edge case/failure, and name a relevant best practice or trade-off.</x:v>
      </x:c>
      <x:c r="F135" s="62" t="str">
        <x:v>Core</x:v>
      </x:c>
      <x:c r="G135" s="62" t="str">
        <x:v>P1</x:v>
      </x:c>
      <x:c r="H135" s="62" t="str">
        <x:v>Not Started</x:v>
      </x:c>
      <x:c r="I135" s="62"/>
      <x:c r="J135" s="66"/>
      <x:c r="K135" s="62" t="str"/>
      <x:c r="L135" s="62" t="str">
        <x:v>Core ABAP learning journey (Resources)</x:v>
      </x:c>
    </x:row>
    <x:row r="136" ht="40" customHeight="1">
      <x:c r="A136" s="62" t="str">
        <x:v>ABAP-132</x:v>
      </x:c>
      <x:c r="B136" s="62" t="str">
        <x:v>08 | Classic ALV &amp; User Interaction</x:v>
      </x:c>
      <x:c r="C136" s="62" t="str">
        <x:v>Classic ALV &amp; User Interaction</x:v>
      </x:c>
      <x:c r="D136" s="62" t="str">
        <x:v>REUSE_ALV_GRID_DISPLAY and field catalog concepts</x:v>
      </x:c>
      <x:c r="E136" s="62" t="str">
        <x:v>For “REUSE_ALV_GRID_DISPLAY and field catalog concepts”: explain its purpose and key rules, demonstrate a small example or trace, handle one common edge case/failure, and name a relevant best practice or trade-off.</x:v>
      </x:c>
      <x:c r="F136" s="62" t="str">
        <x:v>Core</x:v>
      </x:c>
      <x:c r="G136" s="62" t="str">
        <x:v>P2</x:v>
      </x:c>
      <x:c r="H136" s="62" t="str">
        <x:v>Not Started</x:v>
      </x:c>
      <x:c r="I136" s="62"/>
      <x:c r="J136" s="66"/>
      <x:c r="K136" s="62" t="str"/>
      <x:c r="L136" s="62" t="str">
        <x:v>Core ABAP learning journey (Resources)</x:v>
      </x:c>
    </x:row>
    <x:row r="137" ht="40" customHeight="1">
      <x:c r="A137" s="62" t="str">
        <x:v>ABAP-133</x:v>
      </x:c>
      <x:c r="B137" s="62" t="str">
        <x:v>08 | Classic ALV &amp; User Interaction</x:v>
      </x:c>
      <x:c r="C137" s="62" t="str">
        <x:v>Classic ALV &amp; User Interaction</x:v>
      </x:c>
      <x:c r="D137" s="62" t="str">
        <x:v>CL_SALV_TABLE basics</x:v>
      </x:c>
      <x:c r="E137" s="62" t="str">
        <x:v>For “CL_SALV_TABLE basics”: explain its purpose and key rules, demonstrate a small example or trace, handle one common edge case/failure, and name a relevant best practice or trade-off.</x:v>
      </x:c>
      <x:c r="F137" s="62" t="str">
        <x:v>Core</x:v>
      </x:c>
      <x:c r="G137" s="62" t="str">
        <x:v>P1</x:v>
      </x:c>
      <x:c r="H137" s="62" t="str">
        <x:v>Not Started</x:v>
      </x:c>
      <x:c r="I137" s="62"/>
      <x:c r="J137" s="66"/>
      <x:c r="K137" s="62" t="str"/>
      <x:c r="L137" s="62" t="str">
        <x:v>Core ABAP learning journey (Resources)</x:v>
      </x:c>
    </x:row>
    <x:row r="138" ht="40" customHeight="1">
      <x:c r="A138" s="62" t="str">
        <x:v>ABAP-134</x:v>
      </x:c>
      <x:c r="B138" s="62" t="str">
        <x:v>08 | Classic ALV &amp; User Interaction</x:v>
      </x:c>
      <x:c r="C138" s="62" t="str">
        <x:v>Classic ALV &amp; User Interaction</x:v>
      </x:c>
      <x:c r="D138" s="62" t="str">
        <x:v>CL_GUI_ALV_GRID and container/control lifecycle</x:v>
      </x:c>
      <x:c r="E138" s="62" t="str">
        <x:v>For “CL_GUI_ALV_GRID and container/control lifecycle”: explain its purpose and key rules, demonstrate a small example or trace, handle one common edge case/failure, and name a relevant best practice or trade-off.</x:v>
      </x:c>
      <x:c r="F138" s="62" t="str">
        <x:v>Core</x:v>
      </x:c>
      <x:c r="G138" s="62" t="str">
        <x:v>P1</x:v>
      </x:c>
      <x:c r="H138" s="62" t="str">
        <x:v>Not Started</x:v>
      </x:c>
      <x:c r="I138" s="62"/>
      <x:c r="J138" s="66"/>
      <x:c r="K138" s="62" t="str"/>
      <x:c r="L138" s="62" t="str">
        <x:v>Core ABAP learning journey (Resources)</x:v>
      </x:c>
    </x:row>
    <x:row r="139" ht="40" customHeight="1">
      <x:c r="A139" s="62" t="str">
        <x:v>ABAP-135</x:v>
      </x:c>
      <x:c r="B139" s="62" t="str">
        <x:v>08 | Classic ALV &amp; User Interaction</x:v>
      </x:c>
      <x:c r="C139" s="62" t="str">
        <x:v>Classic ALV &amp; User Interaction</x:v>
      </x:c>
      <x:c r="D139" s="62" t="str">
        <x:v>Field catalog: texts, output length, currency/quantity fields</x:v>
      </x:c>
      <x:c r="E139" s="62" t="str">
        <x:v>For “Field catalog: texts, output length, currency/quantity fields”: explain its purpose and key rules, demonstrate a small example or trace, handle one common edge case/failure, and name a relevant best practice or trade-off.</x:v>
      </x:c>
      <x:c r="F139" s="62" t="str">
        <x:v>Core</x:v>
      </x:c>
      <x:c r="G139" s="62" t="str">
        <x:v>P1</x:v>
      </x:c>
      <x:c r="H139" s="62" t="str">
        <x:v>Not Started</x:v>
      </x:c>
      <x:c r="I139" s="62"/>
      <x:c r="J139" s="66"/>
      <x:c r="K139" s="62" t="str"/>
      <x:c r="L139" s="62" t="str">
        <x:v>Core ABAP learning journey (Resources)</x:v>
      </x:c>
    </x:row>
    <x:row r="140" ht="40" customHeight="1">
      <x:c r="A140" s="62" t="str">
        <x:v>ABAP-136</x:v>
      </x:c>
      <x:c r="B140" s="62" t="str">
        <x:v>08 | Classic ALV &amp; User Interaction</x:v>
      </x:c>
      <x:c r="C140" s="62" t="str">
        <x:v>Classic ALV &amp; User Interaction</x:v>
      </x:c>
      <x:c r="D140" s="62" t="str">
        <x:v>Layout variants, sorting, filtering and subtotals</x:v>
      </x:c>
      <x:c r="E140" s="62" t="str">
        <x:v>For “Layout variants, sorting, filtering and subtotals”: explain its purpose and key rules, demonstrate a small example or trace, handle one common edge case/failure, and name a relevant best practice or trade-off.</x:v>
      </x:c>
      <x:c r="F140" s="62" t="str">
        <x:v>Core</x:v>
      </x:c>
      <x:c r="G140" s="62" t="str">
        <x:v>P1</x:v>
      </x:c>
      <x:c r="H140" s="62" t="str">
        <x:v>Not Started</x:v>
      </x:c>
      <x:c r="I140" s="62"/>
      <x:c r="J140" s="66"/>
      <x:c r="K140" s="62" t="str"/>
      <x:c r="L140" s="62" t="str">
        <x:v>Core ABAP learning journey (Resources)</x:v>
      </x:c>
    </x:row>
    <x:row r="141" ht="40" customHeight="1">
      <x:c r="A141" s="62" t="str">
        <x:v>ABAP-137</x:v>
      </x:c>
      <x:c r="B141" s="62" t="str">
        <x:v>08 | Classic ALV &amp; User Interaction</x:v>
      </x:c>
      <x:c r="C141" s="62" t="str">
        <x:v>Classic ALV &amp; User Interaction</x:v>
      </x:c>
      <x:c r="D141" s="62" t="str">
        <x:v>Toolbar customization and user commands</x:v>
      </x:c>
      <x:c r="E141" s="62" t="str">
        <x:v>For “Toolbar customization and user commands”: explain its purpose and key rules, demonstrate a small example or trace, handle one common edge case/failure, and name a relevant best practice or trade-off.</x:v>
      </x:c>
      <x:c r="F141" s="62" t="str">
        <x:v>Core</x:v>
      </x:c>
      <x:c r="G141" s="62" t="str">
        <x:v>P2</x:v>
      </x:c>
      <x:c r="H141" s="62" t="str">
        <x:v>Not Started</x:v>
      </x:c>
      <x:c r="I141" s="62"/>
      <x:c r="J141" s="66"/>
      <x:c r="K141" s="62" t="str"/>
      <x:c r="L141" s="62" t="str">
        <x:v>Core ABAP learning journey (Resources)</x:v>
      </x:c>
    </x:row>
    <x:row r="142" ht="40" customHeight="1">
      <x:c r="A142" s="62" t="str">
        <x:v>ABAP-138</x:v>
      </x:c>
      <x:c r="B142" s="62" t="str">
        <x:v>08 | Classic ALV &amp; User Interaction</x:v>
      </x:c>
      <x:c r="C142" s="62" t="str">
        <x:v>Classic ALV &amp; User Interaction</x:v>
      </x:c>
      <x:c r="D142" s="62" t="str">
        <x:v>Hotspots, double-click and event handlers</x:v>
      </x:c>
      <x:c r="E142" s="62" t="str">
        <x:v>For “Hotspots, double-click and event handlers”: explain its purpose and key rules, demonstrate a small example or trace, handle one common edge case/failure, and name a relevant best practice or trade-off.</x:v>
      </x:c>
      <x:c r="F142" s="62" t="str">
        <x:v>Core</x:v>
      </x:c>
      <x:c r="G142" s="62" t="str">
        <x:v>P2</x:v>
      </x:c>
      <x:c r="H142" s="62" t="str">
        <x:v>Not Started</x:v>
      </x:c>
      <x:c r="I142" s="62"/>
      <x:c r="J142" s="66"/>
      <x:c r="K142" s="62" t="str"/>
      <x:c r="L142" s="62" t="str">
        <x:v>Core ABAP learning journey (Resources)</x:v>
      </x:c>
    </x:row>
    <x:row r="143" ht="40" customHeight="1">
      <x:c r="A143" s="62" t="str">
        <x:v>ABAP-139</x:v>
      </x:c>
      <x:c r="B143" s="62" t="str">
        <x:v>08 | Classic ALV &amp; User Interaction</x:v>
      </x:c>
      <x:c r="C143" s="62" t="str">
        <x:v>Classic ALV &amp; User Interaction</x:v>
      </x:c>
      <x:c r="D143" s="62" t="str">
        <x:v>Editable ALV and data validation</x:v>
      </x:c>
      <x:c r="E143" s="62" t="str">
        <x:v>For “Editable ALV and data validation”: explain its purpose and key rules, demonstrate a small example or trace, handle one common edge case/failure, and name a relevant best practice or trade-off.</x:v>
      </x:c>
      <x:c r="F143" s="62" t="str">
        <x:v>Core</x:v>
      </x:c>
      <x:c r="G143" s="62" t="str">
        <x:v>P2</x:v>
      </x:c>
      <x:c r="H143" s="62" t="str">
        <x:v>Not Started</x:v>
      </x:c>
      <x:c r="I143" s="62"/>
      <x:c r="J143" s="66"/>
      <x:c r="K143" s="62" t="str"/>
      <x:c r="L143" s="62" t="str">
        <x:v>Core ABAP learning journey (Resources)</x:v>
      </x:c>
    </x:row>
    <x:row r="144" ht="40" customHeight="1">
      <x:c r="A144" s="62" t="str">
        <x:v>ABAP-140</x:v>
      </x:c>
      <x:c r="B144" s="62" t="str">
        <x:v>08 | Classic ALV &amp; User Interaction</x:v>
      </x:c>
      <x:c r="C144" s="62" t="str">
        <x:v>Classic ALV &amp; User Interaction</x:v>
      </x:c>
      <x:c r="D144" s="62" t="str">
        <x:v>ALV refresh, stable rows/columns and frontend update</x:v>
      </x:c>
      <x:c r="E144" s="62" t="str">
        <x:v>For “ALV refresh, stable rows/columns and frontend update”: explain its purpose and key rules, demonstrate a small example or trace, handle one common edge case/failure, and name a relevant best practice or trade-off.</x:v>
      </x:c>
      <x:c r="F144" s="62" t="str">
        <x:v>Core</x:v>
      </x:c>
      <x:c r="G144" s="62" t="str">
        <x:v>P1</x:v>
      </x:c>
      <x:c r="H144" s="62" t="str">
        <x:v>Not Started</x:v>
      </x:c>
      <x:c r="I144" s="62"/>
      <x:c r="J144" s="66"/>
      <x:c r="K144" s="62" t="str"/>
      <x:c r="L144" s="62" t="str">
        <x:v>Core ABAP learning journey (Resources)</x:v>
      </x:c>
    </x:row>
    <x:row r="145" ht="40" customHeight="1">
      <x:c r="A145" s="62" t="str">
        <x:v>ABAP-141</x:v>
      </x:c>
      <x:c r="B145" s="62" t="str">
        <x:v>08 | Classic ALV &amp; User Interaction</x:v>
      </x:c>
      <x:c r="C145" s="62" t="str">
        <x:v>Classic ALV &amp; User Interaction</x:v>
      </x:c>
      <x:c r="D145" s="62" t="str">
        <x:v>Handling empty result sets and exceptions</x:v>
      </x:c>
      <x:c r="E145" s="62" t="str">
        <x:v>For “Handling empty result sets and exceptions”: explain its purpose and key rules, demonstrate a small example or trace, handle one common edge case/failure, and name a relevant best practice or trade-off.</x:v>
      </x:c>
      <x:c r="F145" s="62" t="str">
        <x:v>Core</x:v>
      </x:c>
      <x:c r="G145" s="62" t="str">
        <x:v>P1</x:v>
      </x:c>
      <x:c r="H145" s="62" t="str">
        <x:v>Not Started</x:v>
      </x:c>
      <x:c r="I145" s="62"/>
      <x:c r="J145" s="66"/>
      <x:c r="K145" s="62" t="str"/>
      <x:c r="L145" s="62" t="str">
        <x:v>Core ABAP learning journey (Resources)</x:v>
      </x:c>
    </x:row>
    <x:row r="146" ht="40" customHeight="1">
      <x:c r="A146" s="62" t="str">
        <x:v>ABAP-142</x:v>
      </x:c>
      <x:c r="B146" s="62" t="str">
        <x:v>08 | Classic ALV &amp; User Interaction</x:v>
      </x:c>
      <x:c r="C146" s="62" t="str">
        <x:v>Classic ALV &amp; User Interaction</x:v>
      </x:c>
      <x:c r="D146" s="62" t="str">
        <x:v>Export, print and frontend-dependent behavior</x:v>
      </x:c>
      <x:c r="E146" s="62" t="str">
        <x:v>For “Export, print and frontend-dependent behavior”: explain its purpose and key rules, demonstrate a small example or trace, handle one common edge case/failure, and name a relevant best practice or trade-off.</x:v>
      </x:c>
      <x:c r="F146" s="62" t="str">
        <x:v>Core</x:v>
      </x:c>
      <x:c r="G146" s="62" t="str">
        <x:v>P2</x:v>
      </x:c>
      <x:c r="H146" s="62" t="str">
        <x:v>Not Started</x:v>
      </x:c>
      <x:c r="I146" s="62"/>
      <x:c r="J146" s="66"/>
      <x:c r="K146" s="62" t="str"/>
      <x:c r="L146" s="62" t="str">
        <x:v>RAP tutorials (Resources)</x:v>
      </x:c>
    </x:row>
    <x:row r="147" ht="40" customHeight="1">
      <x:c r="A147" s="62" t="str">
        <x:v>ABAP-143</x:v>
      </x:c>
      <x:c r="B147" s="62" t="str">
        <x:v>08 | Classic ALV &amp; User Interaction</x:v>
      </x:c>
      <x:c r="C147" s="62" t="str">
        <x:v>Classic ALV &amp; User Interaction</x:v>
      </x:c>
      <x:c r="D147" s="62" t="str">
        <x:v>SALV limitations vs GUI ALV Grid capabilities</x:v>
      </x:c>
      <x:c r="E147" s="62" t="str">
        <x:v>For “SALV limitations vs GUI ALV Grid capabilities”: explain its purpose and key rules, demonstrate a small example or trace, handle one common edge case/failure, and name a relevant best practice or trade-off.</x:v>
      </x:c>
      <x:c r="F147" s="62" t="str">
        <x:v>Core</x:v>
      </x:c>
      <x:c r="G147" s="62" t="str">
        <x:v>P1</x:v>
      </x:c>
      <x:c r="H147" s="62" t="str">
        <x:v>Not Started</x:v>
      </x:c>
      <x:c r="I147" s="62"/>
      <x:c r="J147" s="66"/>
      <x:c r="K147" s="62" t="str"/>
      <x:c r="L147" s="62" t="str">
        <x:v>Core ABAP learning journey (Resources)</x:v>
      </x:c>
    </x:row>
    <x:row r="148" ht="40" customHeight="1">
      <x:c r="A148" s="62" t="str">
        <x:v>ABAP-144</x:v>
      </x:c>
      <x:c r="B148" s="62" t="str">
        <x:v>08 | Classic ALV &amp; User Interaction</x:v>
      </x:c>
      <x:c r="C148" s="62" t="str">
        <x:v>Classic ALV &amp; User Interaction</x:v>
      </x:c>
      <x:c r="D148" s="62" t="str">
        <x:v>F4 help and dropdowns in editable ALV</x:v>
      </x:c>
      <x:c r="E148" s="62" t="str">
        <x:v>For “F4 help and dropdowns in editable ALV”: explain its purpose and key rules, demonstrate a small example or trace, handle one common edge case/failure, and name a relevant best practice or trade-off.</x:v>
      </x:c>
      <x:c r="F148" s="62" t="str">
        <x:v>Specialized</x:v>
      </x:c>
      <x:c r="G148" s="62" t="str">
        <x:v>P3</x:v>
      </x:c>
      <x:c r="H148" s="62" t="str">
        <x:v>Not Started</x:v>
      </x:c>
      <x:c r="I148" s="62"/>
      <x:c r="J148" s="66"/>
      <x:c r="K148" s="62" t="str"/>
      <x:c r="L148" s="62" t="str">
        <x:v>Core ABAP learning journey (Resources)</x:v>
      </x:c>
    </x:row>
    <x:row r="149" ht="40" customHeight="1">
      <x:c r="A149" s="62" t="str">
        <x:v>ABAP-145</x:v>
      </x:c>
      <x:c r="B149" s="62" t="str">
        <x:v>09 | Object-Oriented ABAP</x:v>
      </x:c>
      <x:c r="C149" s="62" t="str">
        <x:v>Object-Oriented ABAP</x:v>
      </x:c>
      <x:c r="D149" s="62" t="str">
        <x:v>CLASS DEFINITION and IMPLEMENTATION</x:v>
      </x:c>
      <x:c r="E149" s="62" t="str">
        <x:v>For “CLASS DEFINITION and IMPLEMENTATION”: explain its purpose and key rules, demonstrate a small example or trace, handle one common edge case/failure, and name a relevant best practice or trade-off.</x:v>
      </x:c>
      <x:c r="F149" s="62" t="str">
        <x:v>Core</x:v>
      </x:c>
      <x:c r="G149" s="62" t="str">
        <x:v>P1</x:v>
      </x:c>
      <x:c r="H149" s="62" t="str">
        <x:v>Not Started</x:v>
      </x:c>
      <x:c r="I149" s="62"/>
      <x:c r="J149" s="66"/>
      <x:c r="K149" s="62" t="str"/>
      <x:c r="L149" s="62" t="str">
        <x:v>Core ABAP learning journey (Resources)</x:v>
      </x:c>
    </x:row>
    <x:row r="150" ht="40" customHeight="1">
      <x:c r="A150" s="62" t="str">
        <x:v>ABAP-146</x:v>
      </x:c>
      <x:c r="B150" s="62" t="str">
        <x:v>09 | Object-Oriented ABAP</x:v>
      </x:c>
      <x:c r="C150" s="62" t="str">
        <x:v>Object-Oriented ABAP</x:v>
      </x:c>
      <x:c r="D150" s="62" t="str">
        <x:v>PUBLIC / PROTECTED / PRIVATE visibility</x:v>
      </x:c>
      <x:c r="E150" s="62" t="str">
        <x:v>For “PUBLIC / PROTECTED / PRIVATE visibility”: explain its purpose and key rules, demonstrate a small example or trace, handle one common edge case/failure, and name a relevant best practice or trade-off.</x:v>
      </x:c>
      <x:c r="F150" s="62" t="str">
        <x:v>Core</x:v>
      </x:c>
      <x:c r="G150" s="62" t="str">
        <x:v>P1</x:v>
      </x:c>
      <x:c r="H150" s="62" t="str">
        <x:v>Not Started</x:v>
      </x:c>
      <x:c r="I150" s="62"/>
      <x:c r="J150" s="66"/>
      <x:c r="K150" s="62" t="str"/>
      <x:c r="L150" s="62" t="str">
        <x:v>Core ABAP learning journey (Resources)</x:v>
      </x:c>
    </x:row>
    <x:row r="151" ht="40" customHeight="1">
      <x:c r="A151" s="62" t="str">
        <x:v>ABAP-147</x:v>
      </x:c>
      <x:c r="B151" s="62" t="str">
        <x:v>09 | Object-Oriented ABAP</x:v>
      </x:c>
      <x:c r="C151" s="62" t="str">
        <x:v>Object-Oriented ABAP</x:v>
      </x:c>
      <x:c r="D151" s="62" t="str">
        <x:v>Instance attributes vs CLASS-DATA</x:v>
      </x:c>
      <x:c r="E151" s="62" t="str">
        <x:v>For “Instance attributes vs CLASS-DATA”: explain its purpose and key rules, demonstrate a small example or trace, handle one common edge case/failure, and name a relevant best practice or trade-off.</x:v>
      </x:c>
      <x:c r="F151" s="62" t="str">
        <x:v>Core</x:v>
      </x:c>
      <x:c r="G151" s="62" t="str">
        <x:v>P1</x:v>
      </x:c>
      <x:c r="H151" s="62" t="str">
        <x:v>Not Started</x:v>
      </x:c>
      <x:c r="I151" s="62"/>
      <x:c r="J151" s="66"/>
      <x:c r="K151" s="62" t="str"/>
      <x:c r="L151" s="62" t="str">
        <x:v>Core ABAP learning journey (Resources)</x:v>
      </x:c>
    </x:row>
    <x:row r="152" ht="40" customHeight="1">
      <x:c r="A152" s="62" t="str">
        <x:v>ABAP-148</x:v>
      </x:c>
      <x:c r="B152" s="62" t="str">
        <x:v>09 | Object-Oriented ABAP</x:v>
      </x:c>
      <x:c r="C152" s="62" t="str">
        <x:v>Object-Oriented ABAP</x:v>
      </x:c>
      <x:c r="D152" s="62" t="str">
        <x:v>Instance methods vs CLASS-METHODS</x:v>
      </x:c>
      <x:c r="E152" s="62" t="str">
        <x:v>For “Instance methods vs CLASS-METHODS”: explain its purpose and key rules, demonstrate a small example or trace, handle one common edge case/failure, and name a relevant best practice or trade-off.</x:v>
      </x:c>
      <x:c r="F152" s="62" t="str">
        <x:v>Core</x:v>
      </x:c>
      <x:c r="G152" s="62" t="str">
        <x:v>P1</x:v>
      </x:c>
      <x:c r="H152" s="62" t="str">
        <x:v>Not Started</x:v>
      </x:c>
      <x:c r="I152" s="62"/>
      <x:c r="J152" s="66"/>
      <x:c r="K152" s="62" t="str"/>
      <x:c r="L152" s="62" t="str">
        <x:v>Core ABAP learning journey (Resources)</x:v>
      </x:c>
    </x:row>
    <x:row r="153" ht="40" customHeight="1">
      <x:c r="A153" s="62" t="str">
        <x:v>ABAP-149</x:v>
      </x:c>
      <x:c r="B153" s="62" t="str">
        <x:v>09 | Object-Oriented ABAP</x:v>
      </x:c>
      <x:c r="C153" s="62" t="str">
        <x:v>Object-Oriented ABAP</x:v>
      </x:c>
      <x:c r="D153" s="62" t="str">
        <x:v>Constructors and class constructors</x:v>
      </x:c>
      <x:c r="E153" s="62" t="str">
        <x:v>For “Constructors and class constructors”: explain its purpose and key rules, demonstrate a small example or trace, handle one common edge case/failure, and name a relevant best practice or trade-off.</x:v>
      </x:c>
      <x:c r="F153" s="62" t="str">
        <x:v>Core</x:v>
      </x:c>
      <x:c r="G153" s="62" t="str">
        <x:v>P1</x:v>
      </x:c>
      <x:c r="H153" s="62" t="str">
        <x:v>Not Started</x:v>
      </x:c>
      <x:c r="I153" s="62"/>
      <x:c r="J153" s="66"/>
      <x:c r="K153" s="62" t="str"/>
      <x:c r="L153" s="62" t="str">
        <x:v>Core ABAP learning journey (Resources)</x:v>
      </x:c>
    </x:row>
    <x:row r="154" ht="40" customHeight="1">
      <x:c r="A154" s="62" t="str">
        <x:v>ABAP-150</x:v>
      </x:c>
      <x:c r="B154" s="62" t="str">
        <x:v>09 | Object-Oriented ABAP</x:v>
      </x:c>
      <x:c r="C154" s="62" t="str">
        <x:v>Object-Oriented ABAP</x:v>
      </x:c>
      <x:c r="D154" s="62" t="str">
        <x:v>Interfaces and interface references</x:v>
      </x:c>
      <x:c r="E154" s="62" t="str">
        <x:v>For “Interfaces and interface references”: explain its purpose and key rules, demonstrate a small example or trace, handle one common edge case/failure, and name a relevant best practice or trade-off.</x:v>
      </x:c>
      <x:c r="F154" s="62" t="str">
        <x:v>Core</x:v>
      </x:c>
      <x:c r="G154" s="62" t="str">
        <x:v>P1</x:v>
      </x:c>
      <x:c r="H154" s="62" t="str">
        <x:v>Not Started</x:v>
      </x:c>
      <x:c r="I154" s="62"/>
      <x:c r="J154" s="66"/>
      <x:c r="K154" s="62" t="str"/>
      <x:c r="L154" s="62" t="str">
        <x:v>Core ABAP learning journey (Resources)</x:v>
      </x:c>
    </x:row>
    <x:row r="155" ht="40" customHeight="1">
      <x:c r="A155" s="62" t="str">
        <x:v>ABAP-151</x:v>
      </x:c>
      <x:c r="B155" s="62" t="str">
        <x:v>09 | Object-Oriented ABAP</x:v>
      </x:c>
      <x:c r="C155" s="62" t="str">
        <x:v>Object-Oriented ABAP</x:v>
      </x:c>
      <x:c r="D155" s="62" t="str">
        <x:v>Inheritance, redefinition and super-&gt;</x:v>
      </x:c>
      <x:c r="E155" s="62" t="str">
        <x:v>For “Inheritance, redefinition and super-&gt;”: explain its purpose and key rules, demonstrate a small example or trace, handle one common edge case/failure, and name a relevant best practice or trade-off.</x:v>
      </x:c>
      <x:c r="F155" s="62" t="str">
        <x:v>Core</x:v>
      </x:c>
      <x:c r="G155" s="62" t="str">
        <x:v>P1</x:v>
      </x:c>
      <x:c r="H155" s="62" t="str">
        <x:v>Not Started</x:v>
      </x:c>
      <x:c r="I155" s="62"/>
      <x:c r="J155" s="66"/>
      <x:c r="K155" s="62" t="str"/>
      <x:c r="L155" s="62" t="str">
        <x:v>Core ABAP learning journey (Resources)</x:v>
      </x:c>
    </x:row>
    <x:row r="156" ht="40" customHeight="1">
      <x:c r="A156" s="62" t="str">
        <x:v>ABAP-152</x:v>
      </x:c>
      <x:c r="B156" s="62" t="str">
        <x:v>09 | Object-Oriented ABAP</x:v>
      </x:c>
      <x:c r="C156" s="62" t="str">
        <x:v>Object-Oriented ABAP</x:v>
      </x:c>
      <x:c r="D156" s="62" t="str">
        <x:v>Polymorphism and dynamic dispatch</x:v>
      </x:c>
      <x:c r="E156" s="62" t="str">
        <x:v>For “Polymorphism and dynamic dispatch”: explain its purpose and key rules, demonstrate a small example or trace, handle one common edge case/failure, and name a relevant best practice or trade-off.</x:v>
      </x:c>
      <x:c r="F156" s="62" t="str">
        <x:v>Core</x:v>
      </x:c>
      <x:c r="G156" s="62" t="str">
        <x:v>P1</x:v>
      </x:c>
      <x:c r="H156" s="62" t="str">
        <x:v>Not Started</x:v>
      </x:c>
      <x:c r="I156" s="62"/>
      <x:c r="J156" s="66"/>
      <x:c r="K156" s="62" t="str"/>
      <x:c r="L156" s="62" t="str">
        <x:v>Core ABAP learning journey (Resources)</x:v>
      </x:c>
    </x:row>
    <x:row r="157" ht="40" customHeight="1">
      <x:c r="A157" s="62" t="str">
        <x:v>ABAP-153</x:v>
      </x:c>
      <x:c r="B157" s="62" t="str">
        <x:v>09 | Object-Oriented ABAP</x:v>
      </x:c>
      <x:c r="C157" s="62" t="str">
        <x:v>Object-Oriented ABAP</x:v>
      </x:c>
      <x:c r="D157" s="62" t="str">
        <x:v>Abstract and final classes/methods</x:v>
      </x:c>
      <x:c r="E157" s="62" t="str">
        <x:v>For “Abstract and final classes/methods”: explain its purpose and key rules, demonstrate a small example or trace, handle one common edge case/failure, and name a relevant best practice or trade-off.</x:v>
      </x:c>
      <x:c r="F157" s="62" t="str">
        <x:v>Core</x:v>
      </x:c>
      <x:c r="G157" s="62" t="str">
        <x:v>P2</x:v>
      </x:c>
      <x:c r="H157" s="62" t="str">
        <x:v>Not Started</x:v>
      </x:c>
      <x:c r="I157" s="62"/>
      <x:c r="J157" s="66"/>
      <x:c r="K157" s="62" t="str"/>
      <x:c r="L157" s="62" t="str">
        <x:v>Core ABAP learning journey (Resources)</x:v>
      </x:c>
    </x:row>
    <x:row r="158" ht="40" customHeight="1">
      <x:c r="A158" s="62" t="str">
        <x:v>ABAP-154</x:v>
      </x:c>
      <x:c r="B158" s="62" t="str">
        <x:v>09 | Object-Oriented ABAP</x:v>
      </x:c>
      <x:c r="C158" s="62" t="str">
        <x:v>Object-Oriented ABAP</x:v>
      </x:c>
      <x:c r="D158" s="62" t="str">
        <x:v>Friend declarations and why to avoid overuse</x:v>
      </x:c>
      <x:c r="E158" s="62" t="str">
        <x:v>For “Friend declarations and why to avoid overuse”: explain its purpose and key rules, demonstrate a small example or trace, handle one common edge case/failure, and name a relevant best practice or trade-off.</x:v>
      </x:c>
      <x:c r="F158" s="62" t="str">
        <x:v>Specialized</x:v>
      </x:c>
      <x:c r="G158" s="62" t="str">
        <x:v>P3</x:v>
      </x:c>
      <x:c r="H158" s="62" t="str">
        <x:v>Not Started</x:v>
      </x:c>
      <x:c r="I158" s="62"/>
      <x:c r="J158" s="66"/>
      <x:c r="K158" s="62" t="str"/>
      <x:c r="L158" s="62" t="str">
        <x:v>Core ABAP learning journey (Resources)</x:v>
      </x:c>
    </x:row>
    <x:row r="159" ht="40" customHeight="1">
      <x:c r="A159" s="62" t="str">
        <x:v>ABAP-155</x:v>
      </x:c>
      <x:c r="B159" s="62" t="str">
        <x:v>09 | Object-Oriented ABAP</x:v>
      </x:c>
      <x:c r="C159" s="62" t="str">
        <x:v>Object-Oriented ABAP</x:v>
      </x:c>
      <x:c r="D159" s="62" t="str">
        <x:v>Static factory methods and factory pattern</x:v>
      </x:c>
      <x:c r="E159" s="62" t="str">
        <x:v>For “Static factory methods and factory pattern”: explain its purpose and key rules, demonstrate a small example or trace, handle one common edge case/failure, and name a relevant best practice or trade-off.</x:v>
      </x:c>
      <x:c r="F159" s="62" t="str">
        <x:v>Core</x:v>
      </x:c>
      <x:c r="G159" s="62" t="str">
        <x:v>P2</x:v>
      </x:c>
      <x:c r="H159" s="62" t="str">
        <x:v>Not Started</x:v>
      </x:c>
      <x:c r="I159" s="62"/>
      <x:c r="J159" s="66"/>
      <x:c r="K159" s="62" t="str"/>
      <x:c r="L159" s="62" t="str">
        <x:v>Core ABAP learning journey (Resources)</x:v>
      </x:c>
    </x:row>
    <x:row r="160" ht="40" customHeight="1">
      <x:c r="A160" s="62" t="str">
        <x:v>ABAP-156</x:v>
      </x:c>
      <x:c r="B160" s="62" t="str">
        <x:v>09 | Object-Oriented ABAP</x:v>
      </x:c>
      <x:c r="C160" s="62" t="str">
        <x:v>Object-Oriented ABAP</x:v>
      </x:c>
      <x:c r="D160" s="62" t="str">
        <x:v>Dependency injection and constructor injection</x:v>
      </x:c>
      <x:c r="E160" s="62" t="str">
        <x:v>For “Dependency injection and constructor injection”: explain its purpose and key rules, demonstrate a small example or trace, handle one common edge case/failure, and name a relevant best practice or trade-off.</x:v>
      </x:c>
      <x:c r="F160" s="62" t="str">
        <x:v>Core</x:v>
      </x:c>
      <x:c r="G160" s="62" t="str">
        <x:v>P2</x:v>
      </x:c>
      <x:c r="H160" s="62" t="str">
        <x:v>Not Started</x:v>
      </x:c>
      <x:c r="I160" s="62"/>
      <x:c r="J160" s="66"/>
      <x:c r="K160" s="62" t="str"/>
      <x:c r="L160" s="62" t="str">
        <x:v>Core ABAP learning journey (Resources)</x:v>
      </x:c>
    </x:row>
    <x:row r="161" ht="40" customHeight="1">
      <x:c r="A161" s="62" t="str">
        <x:v>ABAP-157</x:v>
      </x:c>
      <x:c r="B161" s="62" t="str">
        <x:v>09 | Object-Oriented ABAP</x:v>
      </x:c>
      <x:c r="C161" s="62" t="str">
        <x:v>Object-Oriented ABAP</x:v>
      </x:c>
      <x:c r="D161" s="62" t="str">
        <x:v>Composition vs inheritance</x:v>
      </x:c>
      <x:c r="E161" s="62" t="str">
        <x:v>For “Composition vs inheritance”: explain its purpose and key rules, demonstrate a small example or trace, handle one common edge case/failure, and name a relevant best practice or trade-off.</x:v>
      </x:c>
      <x:c r="F161" s="62" t="str">
        <x:v>Core</x:v>
      </x:c>
      <x:c r="G161" s="62" t="str">
        <x:v>P1</x:v>
      </x:c>
      <x:c r="H161" s="62" t="str">
        <x:v>Not Started</x:v>
      </x:c>
      <x:c r="I161" s="62"/>
      <x:c r="J161" s="66"/>
      <x:c r="K161" s="62" t="str"/>
      <x:c r="L161" s="62" t="str">
        <x:v>Core ABAP learning journey (Resources)</x:v>
      </x:c>
    </x:row>
    <x:row r="162" ht="40" customHeight="1">
      <x:c r="A162" s="62" t="str">
        <x:v>ABAP-158</x:v>
      </x:c>
      <x:c r="B162" s="62" t="str">
        <x:v>09 | Object-Oriented ABAP</x:v>
      </x:c>
      <x:c r="C162" s="62" t="str">
        <x:v>Object-Oriented ABAP</x:v>
      </x:c>
      <x:c r="D162" s="62" t="str">
        <x:v>Events and event handlers</x:v>
      </x:c>
      <x:c r="E162" s="62" t="str">
        <x:v>For “Events and event handlers”: explain its purpose and key rules, demonstrate a small example or trace, handle one common edge case/failure, and name a relevant best practice or trade-off.</x:v>
      </x:c>
      <x:c r="F162" s="62" t="str">
        <x:v>Core</x:v>
      </x:c>
      <x:c r="G162" s="62" t="str">
        <x:v>P2</x:v>
      </x:c>
      <x:c r="H162" s="62" t="str">
        <x:v>Not Started</x:v>
      </x:c>
      <x:c r="I162" s="62"/>
      <x:c r="J162" s="66"/>
      <x:c r="K162" s="62" t="str"/>
      <x:c r="L162" s="62" t="str">
        <x:v>Core ABAP learning journey (Resources)</x:v>
      </x:c>
    </x:row>
    <x:row r="163" ht="40" customHeight="1">
      <x:c r="A163" s="62" t="str">
        <x:v>ABAP-159</x:v>
      </x:c>
      <x:c r="B163" s="62" t="str">
        <x:v>09 | Object-Oriented ABAP</x:v>
      </x:c>
      <x:c r="C163" s="62" t="str">
        <x:v>Object-Oriented ABAP</x:v>
      </x:c>
      <x:c r="D163" s="62" t="str">
        <x:v>Casting: ?=, CAST and IS INSTANCE OF</x:v>
      </x:c>
      <x:c r="E163" s="62" t="str">
        <x:v>For “Casting: ?=, CAST and IS INSTANCE OF”: explain its purpose and key rules, demonstrate a small example or trace, handle one common edge case/failure, and name a relevant best practice or trade-off.</x:v>
      </x:c>
      <x:c r="F163" s="62" t="str">
        <x:v>Core</x:v>
      </x:c>
      <x:c r="G163" s="62" t="str">
        <x:v>P2</x:v>
      </x:c>
      <x:c r="H163" s="62" t="str">
        <x:v>Not Started</x:v>
      </x:c>
      <x:c r="I163" s="62"/>
      <x:c r="J163" s="66"/>
      <x:c r="K163" s="62" t="str"/>
      <x:c r="L163" s="62" t="str">
        <x:v>Core ABAP learning journey (Resources)</x:v>
      </x:c>
    </x:row>
    <x:row r="164" ht="40" customHeight="1">
      <x:c r="A164" s="62" t="str">
        <x:v>ABAP-160</x:v>
      </x:c>
      <x:c r="B164" s="62" t="str">
        <x:v>09 | Object-Oriented ABAP</x:v>
      </x:c>
      <x:c r="C164" s="62" t="str">
        <x:v>Object-Oriented ABAP</x:v>
      </x:c>
      <x:c r="D164" s="62" t="str">
        <x:v>Down-casting safety and reference checks</x:v>
      </x:c>
      <x:c r="E164" s="62" t="str">
        <x:v>For “Down-casting safety and reference checks”: explain its purpose and key rules, demonstrate a small example or trace, handle one common edge case/failure, and name a relevant best practice or trade-off.</x:v>
      </x:c>
      <x:c r="F164" s="62" t="str">
        <x:v>Core</x:v>
      </x:c>
      <x:c r="G164" s="62" t="str">
        <x:v>P1</x:v>
      </x:c>
      <x:c r="H164" s="62" t="str">
        <x:v>Not Started</x:v>
      </x:c>
      <x:c r="I164" s="62"/>
      <x:c r="J164" s="66"/>
      <x:c r="K164" s="62" t="str"/>
      <x:c r="L164" s="62" t="str">
        <x:v>Core ABAP learning journey (Resources)</x:v>
      </x:c>
    </x:row>
    <x:row r="165" ht="40" customHeight="1">
      <x:c r="A165" s="62" t="str">
        <x:v>ABAP-161</x:v>
      </x:c>
      <x:c r="B165" s="62" t="str">
        <x:v>09 | Object-Oriented ABAP</x:v>
      </x:c>
      <x:c r="C165" s="62" t="str">
        <x:v>Object-Oriented ABAP</x:v>
      </x:c>
      <x:c r="D165" s="62" t="str">
        <x:v>Method parameter typing and RETURNING</x:v>
      </x:c>
      <x:c r="E165" s="62" t="str">
        <x:v>For “Method parameter typing and RETURNING”: explain its purpose and key rules, demonstrate a small example or trace, handle one common edge case/failure, and name a relevant best practice or trade-off.</x:v>
      </x:c>
      <x:c r="F165" s="62" t="str">
        <x:v>Core</x:v>
      </x:c>
      <x:c r="G165" s="62" t="str">
        <x:v>P1</x:v>
      </x:c>
      <x:c r="H165" s="62" t="str">
        <x:v>Not Started</x:v>
      </x:c>
      <x:c r="I165" s="62"/>
      <x:c r="J165" s="66"/>
      <x:c r="K165" s="62" t="str"/>
      <x:c r="L165" s="62" t="str">
        <x:v>Core ABAP learning journey (Resources)</x:v>
      </x:c>
    </x:row>
    <x:row r="166" ht="40" customHeight="1">
      <x:c r="A166" s="62" t="str">
        <x:v>ABAP-162</x:v>
      </x:c>
      <x:c r="B166" s="62" t="str">
        <x:v>09 | Object-Oriented ABAP</x:v>
      </x:c>
      <x:c r="C166" s="62" t="str">
        <x:v>Object-Oriented ABAP</x:v>
      </x:c>
      <x:c r="D166" s="62" t="str">
        <x:v>Local classes and test classes</x:v>
      </x:c>
      <x:c r="E166" s="62" t="str">
        <x:v>For “Local classes and test classes”: explain its purpose and key rules, demonstrate a small example or trace, handle one common edge case/failure, and name a relevant best practice or trade-off.</x:v>
      </x:c>
      <x:c r="F166" s="62" t="str">
        <x:v>Core</x:v>
      </x:c>
      <x:c r="G166" s="62" t="str">
        <x:v>P1</x:v>
      </x:c>
      <x:c r="H166" s="62" t="str">
        <x:v>Not Started</x:v>
      </x:c>
      <x:c r="I166" s="62"/>
      <x:c r="J166" s="66"/>
      <x:c r="K166" s="62" t="str"/>
      <x:c r="L166" s="62" t="str">
        <x:v>ABAP Unit resources (Resources)</x:v>
      </x:c>
    </x:row>
    <x:row r="167" ht="40" customHeight="1">
      <x:c r="A167" s="62" t="str">
        <x:v>ABAP-163</x:v>
      </x:c>
      <x:c r="B167" s="62" t="str">
        <x:v>09 | Object-Oriented ABAP</x:v>
      </x:c>
      <x:c r="C167" s="62" t="str">
        <x:v>Object-Oriented ABAP</x:v>
      </x:c>
      <x:c r="D167" s="62" t="str">
        <x:v>Design by contract and class invariants</x:v>
      </x:c>
      <x:c r="E167" s="62" t="str">
        <x:v>For “Design by contract and class invariants”: explain its purpose and key rules, demonstrate a small example or trace, handle one common edge case/failure, and name a relevant best practice or trade-off.</x:v>
      </x:c>
      <x:c r="F167" s="62" t="str">
        <x:v>Core</x:v>
      </x:c>
      <x:c r="G167" s="62" t="str">
        <x:v>P2</x:v>
      </x:c>
      <x:c r="H167" s="62" t="str">
        <x:v>Not Started</x:v>
      </x:c>
      <x:c r="I167" s="62"/>
      <x:c r="J167" s="66"/>
      <x:c r="K167" s="62" t="str"/>
      <x:c r="L167" s="62" t="str">
        <x:v>Core ABAP learning journey (Resources)</x:v>
      </x:c>
    </x:row>
    <x:row r="168" ht="40" customHeight="1">
      <x:c r="A168" s="62" t="str">
        <x:v>ABAP-164</x:v>
      </x:c>
      <x:c r="B168" s="62" t="str">
        <x:v>09 | Object-Oriented ABAP</x:v>
      </x:c>
      <x:c r="C168" s="62" t="str">
        <x:v>Object-Oriented ABAP</x:v>
      </x:c>
      <x:c r="D168" s="62" t="str">
        <x:v>SOLID principles applied to ABAP</x:v>
      </x:c>
      <x:c r="E168" s="62" t="str">
        <x:v>For “SOLID principles applied to ABAP”: explain its purpose and key rules, demonstrate a small example or trace, handle one common edge case/failure, and name a relevant best practice or trade-off.</x:v>
      </x:c>
      <x:c r="F168" s="62" t="str">
        <x:v>Core</x:v>
      </x:c>
      <x:c r="G168" s="62" t="str">
        <x:v>P2</x:v>
      </x:c>
      <x:c r="H168" s="62" t="str">
        <x:v>Not Started</x:v>
      </x:c>
      <x:c r="I168" s="62"/>
      <x:c r="J168" s="66"/>
      <x:c r="K168" s="62" t="str"/>
      <x:c r="L168" s="62" t="str">
        <x:v>Core ABAP learning journey (Resources)</x:v>
      </x:c>
    </x:row>
    <x:row r="169" ht="40" customHeight="1">
      <x:c r="A169" s="62" t="str">
        <x:v>ABAP-165</x:v>
      </x:c>
      <x:c r="B169" s="62" t="str">
        <x:v>09 | Object-Oriented ABAP</x:v>
      </x:c>
      <x:c r="C169" s="62" t="str">
        <x:v>Object-Oriented ABAP</x:v>
      </x:c>
      <x:c r="D169" s="62" t="str">
        <x:v>Clean code, cohesion and single responsibility</x:v>
      </x:c>
      <x:c r="E169" s="62" t="str">
        <x:v>For “Clean code, cohesion and single responsibility”: explain its purpose and key rules, demonstrate a small example or trace, handle one common edge case/failure, and name a relevant best practice or trade-off.</x:v>
      </x:c>
      <x:c r="F169" s="62" t="str">
        <x:v>Core</x:v>
      </x:c>
      <x:c r="G169" s="62" t="str">
        <x:v>P1</x:v>
      </x:c>
      <x:c r="H169" s="62" t="str">
        <x:v>Not Started</x:v>
      </x:c>
      <x:c r="I169" s="62"/>
      <x:c r="J169" s="66"/>
      <x:c r="K169" s="62" t="str"/>
      <x:c r="L169" s="62" t="str">
        <x:v>Core ABAP learning journey (Resources)</x:v>
      </x:c>
    </x:row>
    <x:row r="170" ht="40" customHeight="1">
      <x:c r="A170" s="62" t="str">
        <x:v>ABAP-166</x:v>
      </x:c>
      <x:c r="B170" s="62" t="str">
        <x:v>09 | Object-Oriented ABAP</x:v>
      </x:c>
      <x:c r="C170" s="62" t="str">
        <x:v>Object-Oriented ABAP</x:v>
      </x:c>
      <x:c r="D170" s="62" t="str">
        <x:v>ABAP OO patterns: strategy, adapter and facade</x:v>
      </x:c>
      <x:c r="E170" s="62" t="str">
        <x:v>For “ABAP OO patterns: strategy, adapter and facade”: explain its purpose and key rules, demonstrate a small example or trace, handle one common edge case/failure, and name a relevant best practice or trade-off.</x:v>
      </x:c>
      <x:c r="F170" s="62" t="str">
        <x:v>Core</x:v>
      </x:c>
      <x:c r="G170" s="62" t="str">
        <x:v>P2</x:v>
      </x:c>
      <x:c r="H170" s="62" t="str">
        <x:v>Not Started</x:v>
      </x:c>
      <x:c r="I170" s="62"/>
      <x:c r="J170" s="66"/>
      <x:c r="K170" s="62" t="str"/>
      <x:c r="L170" s="62" t="str">
        <x:v>Core ABAP learning journey (Resources)</x:v>
      </x:c>
    </x:row>
    <x:row r="171" ht="40" customHeight="1">
      <x:c r="A171" s="62" t="str">
        <x:v>ABAP-167</x:v>
      </x:c>
      <x:c r="B171" s="62" t="str">
        <x:v>10 | Modern ABAP Syntax</x:v>
      </x:c>
      <x:c r="C171" s="62" t="str">
        <x:v>Modern ABAP Syntax</x:v>
      </x:c>
      <x:c r="D171" s="62" t="str">
        <x:v>Inline DATA(...) and FIELD-SYMBOL(...) declarations</x:v>
      </x:c>
      <x:c r="E171" s="62" t="str">
        <x:v>For “Inline DATA(...) and FIELD-SYMBOL(...) declarations”: explain its purpose and key rules, demonstrate a small example or trace, handle one common edge case/failure, and name a relevant best practice or trade-off.</x:v>
      </x:c>
      <x:c r="F171" s="62" t="str">
        <x:v>Intermediate</x:v>
      </x:c>
      <x:c r="G171" s="62" t="str">
        <x:v>P1</x:v>
      </x:c>
      <x:c r="H171" s="62" t="str">
        <x:v>Not Started</x:v>
      </x:c>
      <x:c r="I171" s="62"/>
      <x:c r="J171" s="66"/>
      <x:c r="K171" s="62" t="str"/>
      <x:c r="L171" s="62" t="str"/>
    </x:row>
    <x:row r="172" ht="40" customHeight="1">
      <x:c r="A172" s="62" t="str">
        <x:v>ABAP-168</x:v>
      </x:c>
      <x:c r="B172" s="62" t="str">
        <x:v>10 | Modern ABAP Syntax</x:v>
      </x:c>
      <x:c r="C172" s="62" t="str">
        <x:v>Modern ABAP Syntax</x:v>
      </x:c>
      <x:c r="D172" s="62" t="str">
        <x:v>Constructor operator VALUE</x:v>
      </x:c>
      <x:c r="E172" s="62" t="str">
        <x:v>For “Constructor operator VALUE”: explain its purpose and key rules, demonstrate a small example or trace, handle one common edge case/failure, and name a relevant best practice or trade-off.</x:v>
      </x:c>
      <x:c r="F172" s="62" t="str">
        <x:v>Intermediate</x:v>
      </x:c>
      <x:c r="G172" s="62" t="str">
        <x:v>P1</x:v>
      </x:c>
      <x:c r="H172" s="62" t="str">
        <x:v>Not Started</x:v>
      </x:c>
      <x:c r="I172" s="62"/>
      <x:c r="J172" s="66"/>
      <x:c r="K172" s="62" t="str"/>
      <x:c r="L172" s="62" t="str"/>
    </x:row>
    <x:row r="173" ht="40" customHeight="1">
      <x:c r="A173" s="62" t="str">
        <x:v>ABAP-169</x:v>
      </x:c>
      <x:c r="B173" s="62" t="str">
        <x:v>10 | Modern ABAP Syntax</x:v>
      </x:c>
      <x:c r="C173" s="62" t="str">
        <x:v>Modern ABAP Syntax</x:v>
      </x:c>
      <x:c r="D173" s="62" t="str">
        <x:v>Constructor operator NEW</x:v>
      </x:c>
      <x:c r="E173" s="62" t="str">
        <x:v>For “Constructor operator NEW”: explain its purpose and key rules, demonstrate a small example or trace, handle one common edge case/failure, and name a relevant best practice or trade-off.</x:v>
      </x:c>
      <x:c r="F173" s="62" t="str">
        <x:v>Intermediate</x:v>
      </x:c>
      <x:c r="G173" s="62" t="str">
        <x:v>P1</x:v>
      </x:c>
      <x:c r="H173" s="62" t="str">
        <x:v>Not Started</x:v>
      </x:c>
      <x:c r="I173" s="62"/>
      <x:c r="J173" s="66"/>
      <x:c r="K173" s="62" t="str"/>
      <x:c r="L173" s="62" t="str"/>
    </x:row>
    <x:row r="174" ht="40" customHeight="1">
      <x:c r="A174" s="62" t="str">
        <x:v>ABAP-170</x:v>
      </x:c>
      <x:c r="B174" s="62" t="str">
        <x:v>10 | Modern ABAP Syntax</x:v>
      </x:c>
      <x:c r="C174" s="62" t="str">
        <x:v>Modern ABAP Syntax</x:v>
      </x:c>
      <x:c r="D174" s="62" t="str">
        <x:v>REF and reference constructor expressions</x:v>
      </x:c>
      <x:c r="E174" s="62" t="str">
        <x:v>For “REF and reference constructor expressions”: explain its purpose and key rules, demonstrate a small example or trace, handle one common edge case/failure, and name a relevant best practice or trade-off.</x:v>
      </x:c>
      <x:c r="F174" s="62" t="str">
        <x:v>Intermediate</x:v>
      </x:c>
      <x:c r="G174" s="62" t="str">
        <x:v>P2</x:v>
      </x:c>
      <x:c r="H174" s="62" t="str">
        <x:v>Not Started</x:v>
      </x:c>
      <x:c r="I174" s="62"/>
      <x:c r="J174" s="66"/>
      <x:c r="K174" s="62" t="str"/>
      <x:c r="L174" s="62" t="str"/>
    </x:row>
    <x:row r="175" ht="40" customHeight="1">
      <x:c r="A175" s="62" t="str">
        <x:v>ABAP-171</x:v>
      </x:c>
      <x:c r="B175" s="62" t="str">
        <x:v>10 | Modern ABAP Syntax</x:v>
      </x:c>
      <x:c r="C175" s="62" t="str">
        <x:v>Modern ABAP Syntax</x:v>
      </x:c>
      <x:c r="D175" s="62" t="str">
        <x:v>CONV and EXACT conversions</x:v>
      </x:c>
      <x:c r="E175" s="62" t="str">
        <x:v>For “CONV and EXACT conversions”: explain its purpose and key rules, demonstrate a small example or trace, handle one common edge case/failure, and name a relevant best practice or trade-off.</x:v>
      </x:c>
      <x:c r="F175" s="62" t="str">
        <x:v>Intermediate</x:v>
      </x:c>
      <x:c r="G175" s="62" t="str">
        <x:v>P2</x:v>
      </x:c>
      <x:c r="H175" s="62" t="str">
        <x:v>Not Started</x:v>
      </x:c>
      <x:c r="I175" s="62"/>
      <x:c r="J175" s="66"/>
      <x:c r="K175" s="62" t="str"/>
      <x:c r="L175" s="62" t="str"/>
    </x:row>
    <x:row r="176" ht="40" customHeight="1">
      <x:c r="A176" s="62" t="str">
        <x:v>ABAP-172</x:v>
      </x:c>
      <x:c r="B176" s="62" t="str">
        <x:v>10 | Modern ABAP Syntax</x:v>
      </x:c>
      <x:c r="C176" s="62" t="str">
        <x:v>Modern ABAP Syntax</x:v>
      </x:c>
      <x:c r="D176" s="62" t="str">
        <x:v>CORRESPONDING with MAPPING / EXCEPT</x:v>
      </x:c>
      <x:c r="E176" s="62" t="str">
        <x:v>For “CORRESPONDING with MAPPING / EXCEPT”: explain its purpose and key rules, demonstrate a small example or trace, handle one common edge case/failure, and name a relevant best practice or trade-off.</x:v>
      </x:c>
      <x:c r="F176" s="62" t="str">
        <x:v>Intermediate</x:v>
      </x:c>
      <x:c r="G176" s="62" t="str">
        <x:v>P1</x:v>
      </x:c>
      <x:c r="H176" s="62" t="str">
        <x:v>Not Started</x:v>
      </x:c>
      <x:c r="I176" s="62"/>
      <x:c r="J176" s="66"/>
      <x:c r="K176" s="62" t="str"/>
      <x:c r="L176" s="62" t="str"/>
    </x:row>
    <x:row r="177" ht="40" customHeight="1">
      <x:c r="A177" s="62" t="str">
        <x:v>ABAP-173</x:v>
      </x:c>
      <x:c r="B177" s="62" t="str">
        <x:v>10 | Modern ABAP Syntax</x:v>
      </x:c>
      <x:c r="C177" s="62" t="str">
        <x:v>Modern ABAP Syntax</x:v>
      </x:c>
      <x:c r="D177" s="62" t="str">
        <x:v>BASE addition for structures and tables</x:v>
      </x:c>
      <x:c r="E177" s="62" t="str">
        <x:v>For “BASE addition for structures and tables”: explain its purpose and key rules, demonstrate a small example or trace, handle one common edge case/failure, and name a relevant best practice or trade-off.</x:v>
      </x:c>
      <x:c r="F177" s="62" t="str">
        <x:v>Intermediate</x:v>
      </x:c>
      <x:c r="G177" s="62" t="str">
        <x:v>P2</x:v>
      </x:c>
      <x:c r="H177" s="62" t="str">
        <x:v>Not Started</x:v>
      </x:c>
      <x:c r="I177" s="62"/>
      <x:c r="J177" s="66"/>
      <x:c r="K177" s="62" t="str"/>
      <x:c r="L177" s="62" t="str"/>
    </x:row>
    <x:row r="178" ht="40" customHeight="1">
      <x:c r="A178" s="62" t="str">
        <x:v>ABAP-174</x:v>
      </x:c>
      <x:c r="B178" s="62" t="str">
        <x:v>10 | Modern ABAP Syntax</x:v>
      </x:c>
      <x:c r="C178" s="62" t="str">
        <x:v>Modern ABAP Syntax</x:v>
      </x:c>
      <x:c r="D178" s="62" t="str">
        <x:v>COND and SWITCH expressions</x:v>
      </x:c>
      <x:c r="E178" s="62" t="str">
        <x:v>For “COND and SWITCH expressions”: explain its purpose and key rules, demonstrate a small example or trace, handle one common edge case/failure, and name a relevant best practice or trade-off.</x:v>
      </x:c>
      <x:c r="F178" s="62" t="str">
        <x:v>Intermediate</x:v>
      </x:c>
      <x:c r="G178" s="62" t="str">
        <x:v>P1</x:v>
      </x:c>
      <x:c r="H178" s="62" t="str">
        <x:v>Not Started</x:v>
      </x:c>
      <x:c r="I178" s="62"/>
      <x:c r="J178" s="66"/>
      <x:c r="K178" s="62" t="str"/>
      <x:c r="L178" s="62" t="str"/>
    </x:row>
    <x:row r="179" ht="40" customHeight="1">
      <x:c r="A179" s="62" t="str">
        <x:v>ABAP-175</x:v>
      </x:c>
      <x:c r="B179" s="62" t="str">
        <x:v>10 | Modern ABAP Syntax</x:v>
      </x:c>
      <x:c r="C179" s="62" t="str">
        <x:v>Modern ABAP Syntax</x:v>
      </x:c>
      <x:c r="D179" s="62" t="str">
        <x:v>String templates with formatting options</x:v>
      </x:c>
      <x:c r="E179" s="62" t="str">
        <x:v>For “String templates with formatting options”: explain its purpose and key rules, demonstrate a small example or trace, handle one common edge case/failure, and name a relevant best practice or trade-off.</x:v>
      </x:c>
      <x:c r="F179" s="62" t="str">
        <x:v>Intermediate</x:v>
      </x:c>
      <x:c r="G179" s="62" t="str">
        <x:v>P1</x:v>
      </x:c>
      <x:c r="H179" s="62" t="str">
        <x:v>Not Started</x:v>
      </x:c>
      <x:c r="I179" s="62"/>
      <x:c r="J179" s="66"/>
      <x:c r="K179" s="62" t="str"/>
      <x:c r="L179" s="62" t="str"/>
    </x:row>
    <x:row r="180" ht="40" customHeight="1">
      <x:c r="A180" s="62" t="str">
        <x:v>ABAP-176</x:v>
      </x:c>
      <x:c r="B180" s="62" t="str">
        <x:v>10 | Modern ABAP Syntax</x:v>
      </x:c>
      <x:c r="C180" s="62" t="str">
        <x:v>Modern ABAP Syntax</x:v>
      </x:c>
      <x:c r="D180" s="62" t="str">
        <x:v>Table expressions and line_exists / line_index</x:v>
      </x:c>
      <x:c r="E180" s="62" t="str">
        <x:v>For “Table expressions and line_exists / line_index”: explain its purpose and key rules, demonstrate a small example or trace, handle one common edge case/failure, and name a relevant best practice or trade-off.</x:v>
      </x:c>
      <x:c r="F180" s="62" t="str">
        <x:v>Intermediate</x:v>
      </x:c>
      <x:c r="G180" s="62" t="str">
        <x:v>P1</x:v>
      </x:c>
      <x:c r="H180" s="62" t="str">
        <x:v>Not Started</x:v>
      </x:c>
      <x:c r="I180" s="62"/>
      <x:c r="J180" s="66"/>
      <x:c r="K180" s="62" t="str"/>
      <x:c r="L180" s="62" t="str"/>
    </x:row>
    <x:row r="181" ht="40" customHeight="1">
      <x:c r="A181" s="62" t="str">
        <x:v>ABAP-177</x:v>
      </x:c>
      <x:c r="B181" s="62" t="str">
        <x:v>10 | Modern ABAP Syntax</x:v>
      </x:c>
      <x:c r="C181" s="62" t="str">
        <x:v>Modern ABAP Syntax</x:v>
      </x:c>
      <x:c r="D181" s="62" t="str">
        <x:v>FILTER operator and table keys</x:v>
      </x:c>
      <x:c r="E181" s="62" t="str">
        <x:v>For “FILTER operator and table keys”: explain its purpose and key rules, demonstrate a small example or trace, handle one common edge case/failure, and name a relevant best practice or trade-off.</x:v>
      </x:c>
      <x:c r="F181" s="62" t="str">
        <x:v>Intermediate</x:v>
      </x:c>
      <x:c r="G181" s="62" t="str">
        <x:v>P2</x:v>
      </x:c>
      <x:c r="H181" s="62" t="str">
        <x:v>Not Started</x:v>
      </x:c>
      <x:c r="I181" s="62"/>
      <x:c r="J181" s="66"/>
      <x:c r="K181" s="62" t="str"/>
      <x:c r="L181" s="62" t="str"/>
    </x:row>
    <x:row r="182" ht="40" customHeight="1">
      <x:c r="A182" s="62" t="str">
        <x:v>ABAP-178</x:v>
      </x:c>
      <x:c r="B182" s="62" t="str">
        <x:v>10 | Modern ABAP Syntax</x:v>
      </x:c>
      <x:c r="C182" s="62" t="str">
        <x:v>Modern ABAP Syntax</x:v>
      </x:c>
      <x:c r="D182" s="62" t="str">
        <x:v>REDUCE operator and accumulator typing</x:v>
      </x:c>
      <x:c r="E182" s="62" t="str">
        <x:v>For “REDUCE operator and accumulator typing”: explain its purpose and key rules, demonstrate a small example or trace, handle one common edge case/failure, and name a relevant best practice or trade-off.</x:v>
      </x:c>
      <x:c r="F182" s="62" t="str">
        <x:v>Intermediate</x:v>
      </x:c>
      <x:c r="G182" s="62" t="str">
        <x:v>P2</x:v>
      </x:c>
      <x:c r="H182" s="62" t="str">
        <x:v>Not Started</x:v>
      </x:c>
      <x:c r="I182" s="62"/>
      <x:c r="J182" s="66"/>
      <x:c r="K182" s="62" t="str"/>
      <x:c r="L182" s="62" t="str"/>
    </x:row>
    <x:row r="183" ht="40" customHeight="1">
      <x:c r="A183" s="62" t="str">
        <x:v>ABAP-179</x:v>
      </x:c>
      <x:c r="B183" s="62" t="str">
        <x:v>10 | Modern ABAP Syntax</x:v>
      </x:c>
      <x:c r="C183" s="62" t="str">
        <x:v>Modern ABAP Syntax</x:v>
      </x:c>
      <x:c r="D183" s="62" t="str">
        <x:v>FOR iteration expressions and nested FOR</x:v>
      </x:c>
      <x:c r="E183" s="62" t="str">
        <x:v>For “FOR iteration expressions and nested FOR”: explain its purpose and key rules, demonstrate a small example or trace, handle one common edge case/failure, and name a relevant best practice or trade-off.</x:v>
      </x:c>
      <x:c r="F183" s="62" t="str">
        <x:v>Intermediate</x:v>
      </x:c>
      <x:c r="G183" s="62" t="str">
        <x:v>P2</x:v>
      </x:c>
      <x:c r="H183" s="62" t="str">
        <x:v>Not Started</x:v>
      </x:c>
      <x:c r="I183" s="62"/>
      <x:c r="J183" s="66"/>
      <x:c r="K183" s="62" t="str"/>
      <x:c r="L183" s="62" t="str"/>
    </x:row>
    <x:row r="184" ht="40" customHeight="1">
      <x:c r="A184" s="62" t="str">
        <x:v>ABAP-180</x:v>
      </x:c>
      <x:c r="B184" s="62" t="str">
        <x:v>10 | Modern ABAP Syntax</x:v>
      </x:c>
      <x:c r="C184" s="62" t="str">
        <x:v>Modern ABAP Syntax</x:v>
      </x:c>
      <x:c r="D184" s="62" t="str">
        <x:v>LET expressions for local helper variables</x:v>
      </x:c>
      <x:c r="E184" s="62" t="str">
        <x:v>For “LET expressions for local helper variables”: explain its purpose and key rules, demonstrate a small example or trace, handle one common edge case/failure, and name a relevant best practice or trade-off.</x:v>
      </x:c>
      <x:c r="F184" s="62" t="str">
        <x:v>Intermediate</x:v>
      </x:c>
      <x:c r="G184" s="62" t="str">
        <x:v>P2</x:v>
      </x:c>
      <x:c r="H184" s="62" t="str">
        <x:v>Not Started</x:v>
      </x:c>
      <x:c r="I184" s="62"/>
      <x:c r="J184" s="66"/>
      <x:c r="K184" s="62" t="str"/>
      <x:c r="L184" s="62" t="str"/>
    </x:row>
    <x:row r="185" ht="40" customHeight="1">
      <x:c r="A185" s="62" t="str">
        <x:v>ABAP-181</x:v>
      </x:c>
      <x:c r="B185" s="62" t="str">
        <x:v>10 | Modern ABAP Syntax</x:v>
      </x:c>
      <x:c r="C185" s="62" t="str">
        <x:v>Modern ABAP Syntax</x:v>
      </x:c>
      <x:c r="D185" s="62" t="str">
        <x:v>Open SQL host variables and inline declarations</x:v>
      </x:c>
      <x:c r="E185" s="62" t="str">
        <x:v>For “Open SQL host variables and inline declarations”: explain its purpose and key rules, demonstrate a small example or trace, handle one common edge case/failure, and name a relevant best practice or trade-off.</x:v>
      </x:c>
      <x:c r="F185" s="62" t="str">
        <x:v>Intermediate</x:v>
      </x:c>
      <x:c r="G185" s="62" t="str">
        <x:v>P1</x:v>
      </x:c>
      <x:c r="H185" s="62" t="str">
        <x:v>Not Started</x:v>
      </x:c>
      <x:c r="I185" s="62"/>
      <x:c r="J185" s="66"/>
      <x:c r="K185" s="62" t="str"/>
      <x:c r="L185" s="62" t="str"/>
    </x:row>
    <x:row r="186" ht="40" customHeight="1">
      <x:c r="A186" s="62" t="str">
        <x:v>ABAP-182</x:v>
      </x:c>
      <x:c r="B186" s="62" t="str">
        <x:v>10 | Modern ABAP Syntax</x:v>
      </x:c>
      <x:c r="C186" s="62" t="str">
        <x:v>Modern ABAP Syntax</x:v>
      </x:c>
      <x:c r="D186" s="62" t="str">
        <x:v>NEW Open SQL syntax: commas, @ and escaped host variables</x:v>
      </x:c>
      <x:c r="E186" s="62" t="str">
        <x:v>For “NEW Open SQL syntax: commas, @ and escaped host variables”: explain its purpose and key rules, demonstrate a small example or trace, handle one common edge case/failure, and name a relevant best practice or trade-off.</x:v>
      </x:c>
      <x:c r="F186" s="62" t="str">
        <x:v>Intermediate</x:v>
      </x:c>
      <x:c r="G186" s="62" t="str">
        <x:v>P1</x:v>
      </x:c>
      <x:c r="H186" s="62" t="str">
        <x:v>Not Started</x:v>
      </x:c>
      <x:c r="I186" s="62"/>
      <x:c r="J186" s="66"/>
      <x:c r="K186" s="62" t="str"/>
      <x:c r="L186" s="62" t="str"/>
    </x:row>
    <x:row r="187" ht="40" customHeight="1">
      <x:c r="A187" s="62" t="str">
        <x:v>ABAP-183</x:v>
      </x:c>
      <x:c r="B187" s="62" t="str">
        <x:v>10 | Modern ABAP Syntax</x:v>
      </x:c>
      <x:c r="C187" s="62" t="str">
        <x:v>Modern ABAP Syntax</x:v>
      </x:c>
      <x:c r="D187" s="62" t="str">
        <x:v>Constructor expressions inside method calls</x:v>
      </x:c>
      <x:c r="E187" s="62" t="str">
        <x:v>For “Constructor expressions inside method calls”: explain its purpose and key rules, demonstrate a small example or trace, handle one common edge case/failure, and name a relevant best practice or trade-off.</x:v>
      </x:c>
      <x:c r="F187" s="62" t="str">
        <x:v>Intermediate</x:v>
      </x:c>
      <x:c r="G187" s="62" t="str">
        <x:v>P2</x:v>
      </x:c>
      <x:c r="H187" s="62" t="str">
        <x:v>Not Started</x:v>
      </x:c>
      <x:c r="I187" s="62"/>
      <x:c r="J187" s="66"/>
      <x:c r="K187" s="62" t="str"/>
      <x:c r="L187" s="62" t="str"/>
    </x:row>
    <x:row r="188" ht="40" customHeight="1">
      <x:c r="A188" s="62" t="str">
        <x:v>ABAP-184</x:v>
      </x:c>
      <x:c r="B188" s="62" t="str">
        <x:v>10 | Modern ABAP Syntax</x:v>
      </x:c>
      <x:c r="C188" s="62" t="str">
        <x:v>Modern ABAP Syntax</x:v>
      </x:c>
      <x:c r="D188" s="62" t="str">
        <x:v>Exception expressions with THROW / RESUMABLE patterns</x:v>
      </x:c>
      <x:c r="E188" s="62" t="str">
        <x:v>For “Exception expressions with THROW / RESUMABLE patterns”: explain its purpose and key rules, demonstrate a small example or trace, handle one common edge case/failure, and name a relevant best practice or trade-off.</x:v>
      </x:c>
      <x:c r="F188" s="62" t="str">
        <x:v>Specialized</x:v>
      </x:c>
      <x:c r="G188" s="62" t="str">
        <x:v>P3</x:v>
      </x:c>
      <x:c r="H188" s="62" t="str">
        <x:v>Not Started</x:v>
      </x:c>
      <x:c r="I188" s="62"/>
      <x:c r="J188" s="66"/>
      <x:c r="K188" s="62" t="str"/>
      <x:c r="L188" s="62" t="str"/>
    </x:row>
    <x:row r="189" ht="40" customHeight="1">
      <x:c r="A189" s="62" t="str">
        <x:v>ABAP-185</x:v>
      </x:c>
      <x:c r="B189" s="62" t="str">
        <x:v>10 | Modern ABAP Syntax</x:v>
      </x:c>
      <x:c r="C189" s="62" t="str">
        <x:v>Modern ABAP Syntax</x:v>
      </x:c>
      <x:c r="D189" s="62" t="str">
        <x:v>Choosing readability over overly dense expression chains</x:v>
      </x:c>
      <x:c r="E189" s="62" t="str">
        <x:v>For “Choosing readability over overly dense expression chains”: explain its purpose and key rules, demonstrate a small example or trace, handle one common edge case/failure, and name a relevant best practice or trade-off.</x:v>
      </x:c>
      <x:c r="F189" s="62" t="str">
        <x:v>Intermediate</x:v>
      </x:c>
      <x:c r="G189" s="62" t="str">
        <x:v>P1</x:v>
      </x:c>
      <x:c r="H189" s="62" t="str">
        <x:v>Not Started</x:v>
      </x:c>
      <x:c r="I189" s="62"/>
      <x:c r="J189" s="66"/>
      <x:c r="K189" s="62" t="str"/>
      <x:c r="L189" s="62" t="str"/>
    </x:row>
    <x:row r="190" ht="40" customHeight="1">
      <x:c r="A190" s="62" t="str">
        <x:v>ABAP-186</x:v>
      </x:c>
      <x:c r="B190" s="62" t="str">
        <x:v>11 | Exceptions, Messages &amp; Application Logging</x:v>
      </x:c>
      <x:c r="C190" s="62" t="str">
        <x:v>Exceptions, Messages &amp; Application Logging</x:v>
      </x:c>
      <x:c r="D190" s="62" t="str">
        <x:v>Class-based exceptions and CX_ROOT hierarchy</x:v>
      </x:c>
      <x:c r="E190" s="62" t="str">
        <x:v>For “Class-based exceptions and CX_ROOT hierarchy”: explain its purpose and key rules, demonstrate a small example or trace, handle one common edge case/failure, and name a relevant best practice or trade-off.</x:v>
      </x:c>
      <x:c r="F190" s="62" t="str">
        <x:v>Core</x:v>
      </x:c>
      <x:c r="G190" s="62" t="str">
        <x:v>P1</x:v>
      </x:c>
      <x:c r="H190" s="62" t="str">
        <x:v>Not Started</x:v>
      </x:c>
      <x:c r="I190" s="62"/>
      <x:c r="J190" s="66"/>
      <x:c r="K190" s="62" t="str"/>
      <x:c r="L190" s="62" t="str"/>
    </x:row>
    <x:row r="191" ht="40" customHeight="1">
      <x:c r="A191" s="62" t="str">
        <x:v>ABAP-187</x:v>
      </x:c>
      <x:c r="B191" s="62" t="str">
        <x:v>11 | Exceptions, Messages &amp; Application Logging</x:v>
      </x:c>
      <x:c r="C191" s="62" t="str">
        <x:v>Exceptions, Messages &amp; Application Logging</x:v>
      </x:c>
      <x:c r="D191" s="62" t="str">
        <x:v>RAISE EXCEPTION and RAISE EXCEPTION NEW</x:v>
      </x:c>
      <x:c r="E191" s="62" t="str">
        <x:v>For “RAISE EXCEPTION and RAISE EXCEPTION NEW”: explain its purpose and key rules, demonstrate a small example or trace, handle one common edge case/failure, and name a relevant best practice or trade-off.</x:v>
      </x:c>
      <x:c r="F191" s="62" t="str">
        <x:v>Core</x:v>
      </x:c>
      <x:c r="G191" s="62" t="str">
        <x:v>P1</x:v>
      </x:c>
      <x:c r="H191" s="62" t="str">
        <x:v>Not Started</x:v>
      </x:c>
      <x:c r="I191" s="62"/>
      <x:c r="J191" s="66"/>
      <x:c r="K191" s="62" t="str"/>
      <x:c r="L191" s="62" t="str"/>
    </x:row>
    <x:row r="192" ht="40" customHeight="1">
      <x:c r="A192" s="62" t="str">
        <x:v>ABAP-188</x:v>
      </x:c>
      <x:c r="B192" s="62" t="str">
        <x:v>11 | Exceptions, Messages &amp; Application Logging</x:v>
      </x:c>
      <x:c r="C192" s="62" t="str">
        <x:v>Exceptions, Messages &amp; Application Logging</x:v>
      </x:c>
      <x:c r="D192" s="62" t="str">
        <x:v>TRY / CATCH / CLEANUP</x:v>
      </x:c>
      <x:c r="E192" s="62" t="str">
        <x:v>For “TRY / CATCH / CLEANUP”: explain its purpose and key rules, demonstrate a small example or trace, handle one common edge case/failure, and name a relevant best practice or trade-off.</x:v>
      </x:c>
      <x:c r="F192" s="62" t="str">
        <x:v>Core</x:v>
      </x:c>
      <x:c r="G192" s="62" t="str">
        <x:v>P1</x:v>
      </x:c>
      <x:c r="H192" s="62" t="str">
        <x:v>Not Started</x:v>
      </x:c>
      <x:c r="I192" s="62"/>
      <x:c r="J192" s="66"/>
      <x:c r="K192" s="62" t="str"/>
      <x:c r="L192" s="62" t="str"/>
    </x:row>
    <x:row r="193" ht="40" customHeight="1">
      <x:c r="A193" s="62" t="str">
        <x:v>ABAP-189</x:v>
      </x:c>
      <x:c r="B193" s="62" t="str">
        <x:v>11 | Exceptions, Messages &amp; Application Logging</x:v>
      </x:c>
      <x:c r="C193" s="62" t="str">
        <x:v>Exceptions, Messages &amp; Application Logging</x:v>
      </x:c>
      <x:c r="D193" s="62" t="str">
        <x:v>Checked vs unchecked exception design</x:v>
      </x:c>
      <x:c r="E193" s="62" t="str">
        <x:v>For “Checked vs unchecked exception design”: explain its purpose and key rules, demonstrate a small example or trace, handle one common edge case/failure, and name a relevant best practice or trade-off.</x:v>
      </x:c>
      <x:c r="F193" s="62" t="str">
        <x:v>Core</x:v>
      </x:c>
      <x:c r="G193" s="62" t="str">
        <x:v>P2</x:v>
      </x:c>
      <x:c r="H193" s="62" t="str">
        <x:v>Not Started</x:v>
      </x:c>
      <x:c r="I193" s="62"/>
      <x:c r="J193" s="66"/>
      <x:c r="K193" s="62" t="str"/>
      <x:c r="L193" s="62" t="str"/>
    </x:row>
    <x:row r="194" ht="40" customHeight="1">
      <x:c r="A194" s="62" t="str">
        <x:v>ABAP-190</x:v>
      </x:c>
      <x:c r="B194" s="62" t="str">
        <x:v>11 | Exceptions, Messages &amp; Application Logging</x:v>
      </x:c>
      <x:c r="C194" s="62" t="str">
        <x:v>Exceptions, Messages &amp; Application Logging</x:v>
      </x:c>
      <x:c r="D194" s="62" t="str">
        <x:v>RAISING clauses and exception propagation</x:v>
      </x:c>
      <x:c r="E194" s="62" t="str">
        <x:v>For “RAISING clauses and exception propagation”: explain its purpose and key rules, demonstrate a small example or trace, handle one common edge case/failure, and name a relevant best practice or trade-off.</x:v>
      </x:c>
      <x:c r="F194" s="62" t="str">
        <x:v>Core</x:v>
      </x:c>
      <x:c r="G194" s="62" t="str">
        <x:v>P1</x:v>
      </x:c>
      <x:c r="H194" s="62" t="str">
        <x:v>Not Started</x:v>
      </x:c>
      <x:c r="I194" s="62"/>
      <x:c r="J194" s="66"/>
      <x:c r="K194" s="62" t="str"/>
      <x:c r="L194" s="62" t="str"/>
    </x:row>
    <x:row r="195" ht="40" customHeight="1">
      <x:c r="A195" s="62" t="str">
        <x:v>ABAP-191</x:v>
      </x:c>
      <x:c r="B195" s="62" t="str">
        <x:v>11 | Exceptions, Messages &amp; Application Logging</x:v>
      </x:c>
      <x:c r="C195" s="62" t="str">
        <x:v>Exceptions, Messages &amp; Application Logging</x:v>
      </x:c>
      <x:c r="D195" s="62" t="str">
        <x:v>T100 message classes and message placeholders</x:v>
      </x:c>
      <x:c r="E195" s="62" t="str">
        <x:v>For “T100 message classes and message placeholders”: explain its purpose and key rules, demonstrate a small example or trace, handle one common edge case/failure, and name a relevant best practice or trade-off.</x:v>
      </x:c>
      <x:c r="F195" s="62" t="str">
        <x:v>Core</x:v>
      </x:c>
      <x:c r="G195" s="62" t="str">
        <x:v>P1</x:v>
      </x:c>
      <x:c r="H195" s="62" t="str">
        <x:v>Not Started</x:v>
      </x:c>
      <x:c r="I195" s="62"/>
      <x:c r="J195" s="66"/>
      <x:c r="K195" s="62" t="str"/>
      <x:c r="L195" s="62" t="str"/>
    </x:row>
    <x:row r="196" ht="40" customHeight="1">
      <x:c r="A196" s="62" t="str">
        <x:v>ABAP-192</x:v>
      </x:c>
      <x:c r="B196" s="62" t="str">
        <x:v>11 | Exceptions, Messages &amp; Application Logging</x:v>
      </x:c>
      <x:c r="C196" s="62" t="str">
        <x:v>Exceptions, Messages &amp; Application Logging</x:v>
      </x:c>
      <x:c r="D196" s="62" t="str">
        <x:v>MESSAGE types and user-facing message strategy</x:v>
      </x:c>
      <x:c r="E196" s="62" t="str">
        <x:v>For “MESSAGE types and user-facing message strategy”: explain its purpose and key rules, demonstrate a small example or trace, handle one common edge case/failure, and name a relevant best practice or trade-off.</x:v>
      </x:c>
      <x:c r="F196" s="62" t="str">
        <x:v>Core</x:v>
      </x:c>
      <x:c r="G196" s="62" t="str">
        <x:v>P1</x:v>
      </x:c>
      <x:c r="H196" s="62" t="str">
        <x:v>Not Started</x:v>
      </x:c>
      <x:c r="I196" s="62"/>
      <x:c r="J196" s="66"/>
      <x:c r="K196" s="62" t="str"/>
      <x:c r="L196" s="62" t="str"/>
    </x:row>
    <x:row r="197" ht="40" customHeight="1">
      <x:c r="A197" s="62" t="str">
        <x:v>ABAP-193</x:v>
      </x:c>
      <x:c r="B197" s="62" t="str">
        <x:v>11 | Exceptions, Messages &amp; Application Logging</x:v>
      </x:c>
      <x:c r="C197" s="62" t="str">
        <x:v>Exceptions, Messages &amp; Application Logging</x:v>
      </x:c>
      <x:c r="D197" s="62" t="str">
        <x:v>BAPIRET2 return structures and message handling</x:v>
      </x:c>
      <x:c r="E197" s="62" t="str">
        <x:v>For “BAPIRET2 return structures and message handling”: explain its purpose and key rules, demonstrate a small example or trace, handle one common edge case/failure, and name a relevant best practice or trade-off.</x:v>
      </x:c>
      <x:c r="F197" s="62" t="str">
        <x:v>Core</x:v>
      </x:c>
      <x:c r="G197" s="62" t="str">
        <x:v>P1</x:v>
      </x:c>
      <x:c r="H197" s="62" t="str">
        <x:v>Not Started</x:v>
      </x:c>
      <x:c r="I197" s="62"/>
      <x:c r="J197" s="66"/>
      <x:c r="K197" s="62" t="str"/>
      <x:c r="L197" s="62" t="str"/>
    </x:row>
    <x:row r="198" ht="40" customHeight="1">
      <x:c r="A198" s="62" t="str">
        <x:v>ABAP-194</x:v>
      </x:c>
      <x:c r="B198" s="62" t="str">
        <x:v>11 | Exceptions, Messages &amp; Application Logging</x:v>
      </x:c>
      <x:c r="C198" s="62" t="str">
        <x:v>Exceptions, Messages &amp; Application Logging</x:v>
      </x:c>
      <x:c r="D198" s="62" t="str">
        <x:v>Application Log (BAL): create, add, save and display</x:v>
      </x:c>
      <x:c r="E198" s="62" t="str">
        <x:v>For “Application Log (BAL): create, add, save and display”: explain its purpose and key rules, demonstrate a small example or trace, handle one common edge case/failure, and name a relevant best practice or trade-off.</x:v>
      </x:c>
      <x:c r="F198" s="62" t="str">
        <x:v>Core</x:v>
      </x:c>
      <x:c r="G198" s="62" t="str">
        <x:v>P1</x:v>
      </x:c>
      <x:c r="H198" s="62" t="str">
        <x:v>Not Started</x:v>
      </x:c>
      <x:c r="I198" s="62"/>
      <x:c r="J198" s="66"/>
      <x:c r="K198" s="62" t="str"/>
      <x:c r="L198" s="62" t="str"/>
    </x:row>
    <x:row r="199" ht="40" customHeight="1">
      <x:c r="A199" s="62" t="str">
        <x:v>ABAP-195</x:v>
      </x:c>
      <x:c r="B199" s="62" t="str">
        <x:v>11 | Exceptions, Messages &amp; Application Logging</x:v>
      </x:c>
      <x:c r="C199" s="62" t="str">
        <x:v>Exceptions, Messages &amp; Application Logging</x:v>
      </x:c>
      <x:c r="D199" s="62" t="str">
        <x:v>SLG0/SLG1 and operational log analysis</x:v>
      </x:c>
      <x:c r="E199" s="62" t="str">
        <x:v>For “SLG0/SLG1 and operational log analysis”: explain its purpose and key rules, demonstrate a small example or trace, handle one common edge case/failure, and name a relevant best practice or trade-off.</x:v>
      </x:c>
      <x:c r="F199" s="62" t="str">
        <x:v>Core</x:v>
      </x:c>
      <x:c r="G199" s="62" t="str">
        <x:v>P1</x:v>
      </x:c>
      <x:c r="H199" s="62" t="str">
        <x:v>Not Started</x:v>
      </x:c>
      <x:c r="I199" s="62"/>
      <x:c r="J199" s="66"/>
      <x:c r="K199" s="62" t="str"/>
      <x:c r="L199" s="62" t="str"/>
    </x:row>
    <x:row r="200" ht="40" customHeight="1">
      <x:c r="A200" s="62" t="str">
        <x:v>ABAP-196</x:v>
      </x:c>
      <x:c r="B200" s="62" t="str">
        <x:v>11 | Exceptions, Messages &amp; Application Logging</x:v>
      </x:c>
      <x:c r="C200" s="62" t="str">
        <x:v>Exceptions, Messages &amp; Application Logging</x:v>
      </x:c>
      <x:c r="D200" s="62" t="str">
        <x:v>Avoiding swallowed exceptions and unhelpful catch-all handlers</x:v>
      </x:c>
      <x:c r="E200" s="62" t="str">
        <x:v>For “Avoiding swallowed exceptions and unhelpful catch-all handlers”: explain its purpose and key rules, demonstrate a small example or trace, handle one common edge case/failure, and name a relevant best practice or trade-off.</x:v>
      </x:c>
      <x:c r="F200" s="62" t="str">
        <x:v>Core</x:v>
      </x:c>
      <x:c r="G200" s="62" t="str">
        <x:v>P1</x:v>
      </x:c>
      <x:c r="H200" s="62" t="str">
        <x:v>Not Started</x:v>
      </x:c>
      <x:c r="I200" s="62"/>
      <x:c r="J200" s="66"/>
      <x:c r="K200" s="62" t="str"/>
      <x:c r="L200" s="62" t="str"/>
    </x:row>
    <x:row r="201" ht="40" customHeight="1">
      <x:c r="A201" s="62" t="str">
        <x:v>ABAP-197</x:v>
      </x:c>
      <x:c r="B201" s="62" t="str">
        <x:v>12 | Debugging &amp; Development Tools</x:v>
      </x:c>
      <x:c r="C201" s="62" t="str">
        <x:v>Debugging &amp; Development Tools</x:v>
      </x:c>
      <x:c r="D201" s="62" t="str">
        <x:v>New ABAP Debugger navigation and desktop layouts</x:v>
      </x:c>
      <x:c r="E201" s="62" t="str">
        <x:v>For “New ABAP Debugger navigation and desktop layouts”: explain its purpose and key rules, demonstrate a small example or trace, handle one common edge case/failure, and name a relevant best practice or trade-off.</x:v>
      </x:c>
      <x:c r="F201" s="62" t="str">
        <x:v>Core</x:v>
      </x:c>
      <x:c r="G201" s="62" t="str">
        <x:v>P1</x:v>
      </x:c>
      <x:c r="H201" s="62" t="str">
        <x:v>Not Started</x:v>
      </x:c>
      <x:c r="I201" s="62"/>
      <x:c r="J201" s="66"/>
      <x:c r="K201" s="62" t="str"/>
      <x:c r="L201" s="62" t="str">
        <x:v>Core ABAP learning journey (Resources)</x:v>
      </x:c>
    </x:row>
    <x:row r="202" ht="40" customHeight="1">
      <x:c r="A202" s="62" t="str">
        <x:v>ABAP-198</x:v>
      </x:c>
      <x:c r="B202" s="62" t="str">
        <x:v>12 | Debugging &amp; Development Tools</x:v>
      </x:c>
      <x:c r="C202" s="62" t="str">
        <x:v>Debugging &amp; Development Tools</x:v>
      </x:c>
      <x:c r="D202" s="62" t="str">
        <x:v>Breakpoints, watchpoints and conditional breakpoints</x:v>
      </x:c>
      <x:c r="E202" s="62" t="str">
        <x:v>For “Breakpoints, watchpoints and conditional breakpoints”: explain its purpose and key rules, demonstrate a small example or trace, handle one common edge case/failure, and name a relevant best practice or trade-off.</x:v>
      </x:c>
      <x:c r="F202" s="62" t="str">
        <x:v>Core</x:v>
      </x:c>
      <x:c r="G202" s="62" t="str">
        <x:v>P1</x:v>
      </x:c>
      <x:c r="H202" s="62" t="str">
        <x:v>Not Started</x:v>
      </x:c>
      <x:c r="I202" s="62"/>
      <x:c r="J202" s="66"/>
      <x:c r="K202" s="62" t="str"/>
      <x:c r="L202" s="62" t="str"/>
    </x:row>
    <x:row r="203" ht="40" customHeight="1">
      <x:c r="A203" s="62" t="str">
        <x:v>ABAP-199</x:v>
      </x:c>
      <x:c r="B203" s="62" t="str">
        <x:v>12 | Debugging &amp; Development Tools</x:v>
      </x:c>
      <x:c r="C203" s="62" t="str">
        <x:v>Debugging &amp; Development Tools</x:v>
      </x:c>
      <x:c r="D203" s="62" t="str">
        <x:v>External breakpoints and RFC/update debugging</x:v>
      </x:c>
      <x:c r="E203" s="62" t="str">
        <x:v>For “External breakpoints and RFC/update debugging”: explain its purpose and key rules, demonstrate a small example or trace, handle one common edge case/failure, and name a relevant best practice or trade-off.</x:v>
      </x:c>
      <x:c r="F203" s="62" t="str">
        <x:v>Core</x:v>
      </x:c>
      <x:c r="G203" s="62" t="str">
        <x:v>P1</x:v>
      </x:c>
      <x:c r="H203" s="62" t="str">
        <x:v>Not Started</x:v>
      </x:c>
      <x:c r="I203" s="62"/>
      <x:c r="J203" s="66"/>
      <x:c r="K203" s="62" t="str"/>
      <x:c r="L203" s="62" t="str"/>
    </x:row>
    <x:row r="204" ht="40" customHeight="1">
      <x:c r="A204" s="62" t="str">
        <x:v>ABAP-200</x:v>
      </x:c>
      <x:c r="B204" s="62" t="str">
        <x:v>12 | Debugging &amp; Development Tools</x:v>
      </x:c>
      <x:c r="C204" s="62" t="str">
        <x:v>Debugging &amp; Development Tools</x:v>
      </x:c>
      <x:c r="D204" s="62" t="str">
        <x:v>Debugger field symbols, references and table inspection</x:v>
      </x:c>
      <x:c r="E204" s="62" t="str">
        <x:v>For “Debugger field symbols, references and table inspection”: explain its purpose and key rules, demonstrate a small example or trace, handle one common edge case/failure, and name a relevant best practice or trade-off.</x:v>
      </x:c>
      <x:c r="F204" s="62" t="str">
        <x:v>Core</x:v>
      </x:c>
      <x:c r="G204" s="62" t="str">
        <x:v>P1</x:v>
      </x:c>
      <x:c r="H204" s="62" t="str">
        <x:v>Not Started</x:v>
      </x:c>
      <x:c r="I204" s="62"/>
      <x:c r="J204" s="66"/>
      <x:c r="K204" s="62" t="str"/>
      <x:c r="L204" s="62" t="str"/>
    </x:row>
    <x:row r="205" ht="40" customHeight="1">
      <x:c r="A205" s="62" t="str">
        <x:v>ABAP-201</x:v>
      </x:c>
      <x:c r="B205" s="62" t="str">
        <x:v>12 | Debugging &amp; Development Tools</x:v>
      </x:c>
      <x:c r="C205" s="62" t="str">
        <x:v>Debugging &amp; Development Tools</x:v>
      </x:c>
      <x:c r="D205" s="62" t="str">
        <x:v>Debugger scripting / tools overview where available</x:v>
      </x:c>
      <x:c r="E205" s="62" t="str">
        <x:v>For “Debugger scripting / tools overview where available”: explain its purpose and key rules, demonstrate a small example or trace, handle one common edge case/failure, and name a relevant best practice or trade-off.</x:v>
      </x:c>
      <x:c r="F205" s="62" t="str">
        <x:v>Specialized</x:v>
      </x:c>
      <x:c r="G205" s="62" t="str">
        <x:v>P3</x:v>
      </x:c>
      <x:c r="H205" s="62" t="str">
        <x:v>Not Started</x:v>
      </x:c>
      <x:c r="I205" s="62"/>
      <x:c r="J205" s="66"/>
      <x:c r="K205" s="62" t="str"/>
      <x:c r="L205" s="62" t="str"/>
    </x:row>
    <x:row r="206" ht="40" customHeight="1">
      <x:c r="A206" s="62" t="str">
        <x:v>ABAP-202</x:v>
      </x:c>
      <x:c r="B206" s="62" t="str">
        <x:v>12 | Debugging &amp; Development Tools</x:v>
      </x:c>
      <x:c r="C206" s="62" t="str">
        <x:v>Debugging &amp; Development Tools</x:v>
      </x:c>
      <x:c r="D206" s="62" t="str">
        <x:v>System debugging and framework call-stack navigation</x:v>
      </x:c>
      <x:c r="E206" s="62" t="str">
        <x:v>For “System debugging and framework call-stack navigation”: explain its purpose and key rules, demonstrate a small example or trace, handle one common edge case/failure, and name a relevant best practice or trade-off.</x:v>
      </x:c>
      <x:c r="F206" s="62" t="str">
        <x:v>Core</x:v>
      </x:c>
      <x:c r="G206" s="62" t="str">
        <x:v>P2</x:v>
      </x:c>
      <x:c r="H206" s="62" t="str">
        <x:v>Not Started</x:v>
      </x:c>
      <x:c r="I206" s="62"/>
      <x:c r="J206" s="66"/>
      <x:c r="K206" s="62" t="str"/>
      <x:c r="L206" s="62" t="str"/>
    </x:row>
    <x:row r="207" ht="40" customHeight="1">
      <x:c r="A207" s="62" t="str">
        <x:v>ABAP-203</x:v>
      </x:c>
      <x:c r="B207" s="62" t="str">
        <x:v>12 | Debugging &amp; Development Tools</x:v>
      </x:c>
      <x:c r="C207" s="62" t="str">
        <x:v>Debugging &amp; Development Tools</x:v>
      </x:c>
      <x:c r="D207" s="62" t="str">
        <x:v>ST22 short dumps and call-stack analysis</x:v>
      </x:c>
      <x:c r="E207" s="62" t="str">
        <x:v>For “ST22 short dumps and call-stack analysis”: explain its purpose and key rules, demonstrate a small example or trace, handle one common edge case/failure, and name a relevant best practice or trade-off.</x:v>
      </x:c>
      <x:c r="F207" s="62" t="str">
        <x:v>Core</x:v>
      </x:c>
      <x:c r="G207" s="62" t="str">
        <x:v>P1</x:v>
      </x:c>
      <x:c r="H207" s="62" t="str">
        <x:v>Not Started</x:v>
      </x:c>
      <x:c r="I207" s="62"/>
      <x:c r="J207" s="66"/>
      <x:c r="K207" s="62" t="str"/>
      <x:c r="L207" s="62" t="str"/>
    </x:row>
    <x:row r="208" ht="40" customHeight="1">
      <x:c r="A208" s="62" t="str">
        <x:v>ABAP-204</x:v>
      </x:c>
      <x:c r="B208" s="62" t="str">
        <x:v>12 | Debugging &amp; Development Tools</x:v>
      </x:c>
      <x:c r="C208" s="62" t="str">
        <x:v>Debugging &amp; Development Tools</x:v>
      </x:c>
      <x:c r="D208" s="62" t="str">
        <x:v>SM21 system log and SM13 update failures</x:v>
      </x:c>
      <x:c r="E208" s="62" t="str">
        <x:v>For “SM21 system log and SM13 update failures”: explain its purpose and key rules, demonstrate a small example or trace, handle one common edge case/failure, and name a relevant best practice or trade-off.</x:v>
      </x:c>
      <x:c r="F208" s="62" t="str">
        <x:v>Core</x:v>
      </x:c>
      <x:c r="G208" s="62" t="str">
        <x:v>P2</x:v>
      </x:c>
      <x:c r="H208" s="62" t="str">
        <x:v>Not Started</x:v>
      </x:c>
      <x:c r="I208" s="62"/>
      <x:c r="J208" s="66"/>
      <x:c r="K208" s="62" t="str"/>
      <x:c r="L208" s="62" t="str"/>
    </x:row>
    <x:row r="209" ht="40" customHeight="1">
      <x:c r="A209" s="62" t="str">
        <x:v>ABAP-205</x:v>
      </x:c>
      <x:c r="B209" s="62" t="str">
        <x:v>12 | Debugging &amp; Development Tools</x:v>
      </x:c>
      <x:c r="C209" s="62" t="str">
        <x:v>Debugging &amp; Development Tools</x:v>
      </x:c>
      <x:c r="D209" s="62" t="str">
        <x:v>SAT runtime analysis</x:v>
      </x:c>
      <x:c r="E209" s="62" t="str">
        <x:v>For “SAT runtime analysis”: explain its purpose and key rules, demonstrate a small example or trace, handle one common edge case/failure, and name a relevant best practice or trade-off.</x:v>
      </x:c>
      <x:c r="F209" s="62" t="str">
        <x:v>Core</x:v>
      </x:c>
      <x:c r="G209" s="62" t="str">
        <x:v>P1</x:v>
      </x:c>
      <x:c r="H209" s="62" t="str">
        <x:v>Not Started</x:v>
      </x:c>
      <x:c r="I209" s="62"/>
      <x:c r="J209" s="66"/>
      <x:c r="K209" s="62" t="str"/>
      <x:c r="L209" s="62" t="str"/>
    </x:row>
    <x:row r="210" ht="40" customHeight="1">
      <x:c r="A210" s="62" t="str">
        <x:v>ABAP-206</x:v>
      </x:c>
      <x:c r="B210" s="62" t="str">
        <x:v>12 | Debugging &amp; Development Tools</x:v>
      </x:c>
      <x:c r="C210" s="62" t="str">
        <x:v>Debugging &amp; Development Tools</x:v>
      </x:c>
      <x:c r="D210" s="62" t="str">
        <x:v>ST05 SQL trace</x:v>
      </x:c>
      <x:c r="E210" s="62" t="str">
        <x:v>For “ST05 SQL trace”: explain its purpose and key rules, demonstrate a small example or trace, handle one common edge case/failure, and name a relevant best practice or trade-off.</x:v>
      </x:c>
      <x:c r="F210" s="62" t="str">
        <x:v>Core</x:v>
      </x:c>
      <x:c r="G210" s="62" t="str">
        <x:v>P1</x:v>
      </x:c>
      <x:c r="H210" s="62" t="str">
        <x:v>Not Started</x:v>
      </x:c>
      <x:c r="I210" s="62"/>
      <x:c r="J210" s="66"/>
      <x:c r="K210" s="62" t="str"/>
      <x:c r="L210" s="62" t="str"/>
    </x:row>
    <x:row r="211" ht="40" customHeight="1">
      <x:c r="A211" s="62" t="str">
        <x:v>ABAP-207</x:v>
      </x:c>
      <x:c r="B211" s="62" t="str">
        <x:v>12 | Debugging &amp; Development Tools</x:v>
      </x:c>
      <x:c r="C211" s="62" t="str">
        <x:v>Debugging &amp; Development Tools</x:v>
      </x:c>
      <x:c r="D211" s="62" t="str">
        <x:v>ST12 combined ABAP/SQL trace</x:v>
      </x:c>
      <x:c r="E211" s="62" t="str">
        <x:v>For “ST12 combined ABAP/SQL trace”: explain its purpose and key rules, demonstrate a small example or trace, handle one common edge case/failure, and name a relevant best practice or trade-off.</x:v>
      </x:c>
      <x:c r="F211" s="62" t="str">
        <x:v>Core</x:v>
      </x:c>
      <x:c r="G211" s="62" t="str">
        <x:v>P2</x:v>
      </x:c>
      <x:c r="H211" s="62" t="str">
        <x:v>Not Started</x:v>
      </x:c>
      <x:c r="I211" s="62"/>
      <x:c r="J211" s="66"/>
      <x:c r="K211" s="62" t="str"/>
      <x:c r="L211" s="62" t="str">
        <x:v>Core ABAP learning journey (Resources)</x:v>
      </x:c>
    </x:row>
    <x:row r="212" ht="40" customHeight="1">
      <x:c r="A212" s="62" t="str">
        <x:v>ABAP-208</x:v>
      </x:c>
      <x:c r="B212" s="62" t="str">
        <x:v>12 | Debugging &amp; Development Tools</x:v>
      </x:c>
      <x:c r="C212" s="62" t="str">
        <x:v>Debugging &amp; Development Tools</x:v>
      </x:c>
      <x:c r="D212" s="62" t="str">
        <x:v>SM50 / SM66 work-process analysis</x:v>
      </x:c>
      <x:c r="E212" s="62" t="str">
        <x:v>For “SM50 / SM66 work-process analysis”: explain its purpose and key rules, demonstrate a small example or trace, handle one common edge case/failure, and name a relevant best practice or trade-off.</x:v>
      </x:c>
      <x:c r="F212" s="62" t="str">
        <x:v>Core</x:v>
      </x:c>
      <x:c r="G212" s="62" t="str">
        <x:v>P2</x:v>
      </x:c>
      <x:c r="H212" s="62" t="str">
        <x:v>Not Started</x:v>
      </x:c>
      <x:c r="I212" s="62"/>
      <x:c r="J212" s="66"/>
      <x:c r="K212" s="62" t="str"/>
      <x:c r="L212" s="62" t="str"/>
    </x:row>
    <x:row r="213" ht="40" customHeight="1">
      <x:c r="A213" s="62" t="str">
        <x:v>ABAP-209</x:v>
      </x:c>
      <x:c r="B213" s="62" t="str">
        <x:v>12 | Debugging &amp; Development Tools</x:v>
      </x:c>
      <x:c r="C213" s="62" t="str">
        <x:v>Debugging &amp; Development Tools</x:v>
      </x:c>
      <x:c r="D213" s="62" t="str">
        <x:v>SE11, SE16N, SE24, SE37, SE38, SE80 and ADT navigation</x:v>
      </x:c>
      <x:c r="E213" s="62" t="str">
        <x:v>For “SE11, SE16N, SE24, SE37, SE38, SE80 and ADT navigation”: explain its purpose and key rules, demonstrate a small example or trace, handle one common edge case/failure, and name a relevant best practice or trade-off.</x:v>
      </x:c>
      <x:c r="F213" s="62" t="str">
        <x:v>Core</x:v>
      </x:c>
      <x:c r="G213" s="62" t="str">
        <x:v>P1</x:v>
      </x:c>
      <x:c r="H213" s="62" t="str">
        <x:v>Not Started</x:v>
      </x:c>
      <x:c r="I213" s="62"/>
      <x:c r="J213" s="66"/>
      <x:c r="K213" s="62" t="str"/>
      <x:c r="L213" s="62" t="str"/>
    </x:row>
    <x:row r="214" ht="40" customHeight="1">
      <x:c r="A214" s="62" t="str">
        <x:v>ABAP-210</x:v>
      </x:c>
      <x:c r="B214" s="62" t="str">
        <x:v>12 | Debugging &amp; Development Tools</x:v>
      </x:c>
      <x:c r="C214" s="62" t="str">
        <x:v>Debugging &amp; Development Tools</x:v>
      </x:c>
      <x:c r="D214" s="62" t="str">
        <x:v>Where-used list, dependency analyzer and object search</x:v>
      </x:c>
      <x:c r="E214" s="62" t="str">
        <x:v>For “Where-used list, dependency analyzer and object search”: explain its purpose and key rules, demonstrate a small example or trace, handle one common edge case/failure, and name a relevant best practice or trade-off.</x:v>
      </x:c>
      <x:c r="F214" s="62" t="str">
        <x:v>Core</x:v>
      </x:c>
      <x:c r="G214" s="62" t="str">
        <x:v>P1</x:v>
      </x:c>
      <x:c r="H214" s="62" t="str">
        <x:v>Not Started</x:v>
      </x:c>
      <x:c r="I214" s="62"/>
      <x:c r="J214" s="66"/>
      <x:c r="K214" s="62" t="str"/>
      <x:c r="L214" s="62" t="str"/>
    </x:row>
    <x:row r="215" ht="40" customHeight="1">
      <x:c r="A215" s="62" t="str">
        <x:v>ABAP-211</x:v>
      </x:c>
      <x:c r="B215" s="62" t="str">
        <x:v>12 | Debugging &amp; Development Tools</x:v>
      </x:c>
      <x:c r="C215" s="62" t="str">
        <x:v>Debugging &amp; Development Tools</x:v>
      </x:c>
      <x:c r="D215" s="62" t="str">
        <x:v>Reproducing bugs with controlled test data</x:v>
      </x:c>
      <x:c r="E215" s="62" t="str">
        <x:v>For “Reproducing bugs with controlled test data”: explain its purpose and key rules, demonstrate a small example or trace, handle one common edge case/failure, and name a relevant best practice or trade-off.</x:v>
      </x:c>
      <x:c r="F215" s="62" t="str">
        <x:v>Core</x:v>
      </x:c>
      <x:c r="G215" s="62" t="str">
        <x:v>P1</x:v>
      </x:c>
      <x:c r="H215" s="62" t="str">
        <x:v>Not Started</x:v>
      </x:c>
      <x:c r="I215" s="62"/>
      <x:c r="J215" s="66"/>
      <x:c r="K215" s="62" t="str"/>
      <x:c r="L215" s="62" t="str">
        <x:v>ABAP Unit resources (Resources)</x:v>
      </x:c>
    </x:row>
    <x:row r="216" ht="40" customHeight="1">
      <x:c r="A216" s="62" t="str">
        <x:v>ABAP-212</x:v>
      </x:c>
      <x:c r="B216" s="62" t="str">
        <x:v>13 | Enhancements &amp; Extension Techniques</x:v>
      </x:c>
      <x:c r="C216" s="62" t="str">
        <x:v>Enhancements &amp; Extension Techniques</x:v>
      </x:c>
      <x:c r="D216" s="62" t="str">
        <x:v>User exits and customer exits</x:v>
      </x:c>
      <x:c r="E216" s="62" t="str">
        <x:v>For “User exits and customer exits”: explain its purpose and key rules, demonstrate a small example or trace, handle one common edge case/failure, and name a relevant best practice or trade-off.</x:v>
      </x:c>
      <x:c r="F216" s="62" t="str">
        <x:v>Intermediate</x:v>
      </x:c>
      <x:c r="G216" s="62" t="str">
        <x:v>P1</x:v>
      </x:c>
      <x:c r="H216" s="62" t="str">
        <x:v>Not Started</x:v>
      </x:c>
      <x:c r="I216" s="62"/>
      <x:c r="J216" s="66"/>
      <x:c r="K216" s="62" t="str"/>
      <x:c r="L216" s="62" t="str"/>
    </x:row>
    <x:row r="217" ht="40" customHeight="1">
      <x:c r="A217" s="62" t="str">
        <x:v>ABAP-213</x:v>
      </x:c>
      <x:c r="B217" s="62" t="str">
        <x:v>13 | Enhancements &amp; Extension Techniques</x:v>
      </x:c>
      <x:c r="C217" s="62" t="str">
        <x:v>Enhancements &amp; Extension Techniques</x:v>
      </x:c>
      <x:c r="D217" s="62" t="str">
        <x:v>SMOD and CMOD enhancement projects</x:v>
      </x:c>
      <x:c r="E217" s="62" t="str">
        <x:v>For “SMOD and CMOD enhancement projects”: explain its purpose and key rules, demonstrate a small example or trace, handle one common edge case/failure, and name a relevant best practice or trade-off.</x:v>
      </x:c>
      <x:c r="F217" s="62" t="str">
        <x:v>Intermediate</x:v>
      </x:c>
      <x:c r="G217" s="62" t="str">
        <x:v>P1</x:v>
      </x:c>
      <x:c r="H217" s="62" t="str">
        <x:v>Not Started</x:v>
      </x:c>
      <x:c r="I217" s="62"/>
      <x:c r="J217" s="66"/>
      <x:c r="K217" s="62" t="str"/>
      <x:c r="L217" s="62" t="str"/>
    </x:row>
    <x:row r="218" ht="40" customHeight="1">
      <x:c r="A218" s="62" t="str">
        <x:v>ABAP-214</x:v>
      </x:c>
      <x:c r="B218" s="62" t="str">
        <x:v>13 | Enhancements &amp; Extension Techniques</x:v>
      </x:c>
      <x:c r="C218" s="62" t="str">
        <x:v>Enhancements &amp; Extension Techniques</x:v>
      </x:c>
      <x:c r="D218" s="62" t="str">
        <x:v>BAdI definitions, implementations and filters</x:v>
      </x:c>
      <x:c r="E218" s="62" t="str">
        <x:v>For “BAdI definitions, implementations and filters”: explain its purpose and key rules, demonstrate a small example or trace, handle one common edge case/failure, and name a relevant best practice or trade-off.</x:v>
      </x:c>
      <x:c r="F218" s="62" t="str">
        <x:v>Intermediate</x:v>
      </x:c>
      <x:c r="G218" s="62" t="str">
        <x:v>P1</x:v>
      </x:c>
      <x:c r="H218" s="62" t="str">
        <x:v>Not Started</x:v>
      </x:c>
      <x:c r="I218" s="62"/>
      <x:c r="J218" s="66"/>
      <x:c r="K218" s="62" t="str"/>
      <x:c r="L218" s="62" t="str"/>
    </x:row>
    <x:row r="219" ht="40" customHeight="1">
      <x:c r="A219" s="62" t="str">
        <x:v>ABAP-215</x:v>
      </x:c>
      <x:c r="B219" s="62" t="str">
        <x:v>13 | Enhancements &amp; Extension Techniques</x:v>
      </x:c>
      <x:c r="C219" s="62" t="str">
        <x:v>Enhancements &amp; Extension Techniques</x:v>
      </x:c>
      <x:c r="D219" s="62" t="str">
        <x:v>Classic vs new BAdI concepts</x:v>
      </x:c>
      <x:c r="E219" s="62" t="str">
        <x:v>For “Classic vs new BAdI concepts”: explain its purpose and key rules, demonstrate a small example or trace, handle one common edge case/failure, and name a relevant best practice or trade-off.</x:v>
      </x:c>
      <x:c r="F219" s="62" t="str">
        <x:v>Intermediate</x:v>
      </x:c>
      <x:c r="G219" s="62" t="str">
        <x:v>P2</x:v>
      </x:c>
      <x:c r="H219" s="62" t="str">
        <x:v>Not Started</x:v>
      </x:c>
      <x:c r="I219" s="62"/>
      <x:c r="J219" s="66"/>
      <x:c r="K219" s="62" t="str"/>
      <x:c r="L219" s="62" t="str"/>
    </x:row>
    <x:row r="220" ht="40" customHeight="1">
      <x:c r="A220" s="62" t="str">
        <x:v>ABAP-216</x:v>
      </x:c>
      <x:c r="B220" s="62" t="str">
        <x:v>13 | Enhancements &amp; Extension Techniques</x:v>
      </x:c>
      <x:c r="C220" s="62" t="str">
        <x:v>Enhancements &amp; Extension Techniques</x:v>
      </x:c>
      <x:c r="D220" s="62" t="str">
        <x:v>Explicit enhancement points and sections</x:v>
      </x:c>
      <x:c r="E220" s="62" t="str">
        <x:v>For “Explicit enhancement points and sections”: explain its purpose and key rules, demonstrate a small example or trace, handle one common edge case/failure, and name a relevant best practice or trade-off.</x:v>
      </x:c>
      <x:c r="F220" s="62" t="str">
        <x:v>Intermediate</x:v>
      </x:c>
      <x:c r="G220" s="62" t="str">
        <x:v>P1</x:v>
      </x:c>
      <x:c r="H220" s="62" t="str">
        <x:v>Not Started</x:v>
      </x:c>
      <x:c r="I220" s="62"/>
      <x:c r="J220" s="66"/>
      <x:c r="K220" s="62" t="str"/>
      <x:c r="L220" s="62" t="str"/>
    </x:row>
    <x:row r="221" ht="40" customHeight="1">
      <x:c r="A221" s="62" t="str">
        <x:v>ABAP-217</x:v>
      </x:c>
      <x:c r="B221" s="62" t="str">
        <x:v>13 | Enhancements &amp; Extension Techniques</x:v>
      </x:c>
      <x:c r="C221" s="62" t="str">
        <x:v>Enhancements &amp; Extension Techniques</x:v>
      </x:c>
      <x:c r="D221" s="62" t="str">
        <x:v>Implicit enhancement options and risks</x:v>
      </x:c>
      <x:c r="E221" s="62" t="str">
        <x:v>For “Implicit enhancement options and risks”: explain its purpose and key rules, demonstrate a small example or trace, handle one common edge case/failure, and name a relevant best practice or trade-off.</x:v>
      </x:c>
      <x:c r="F221" s="62" t="str">
        <x:v>Intermediate</x:v>
      </x:c>
      <x:c r="G221" s="62" t="str">
        <x:v>P2</x:v>
      </x:c>
      <x:c r="H221" s="62" t="str">
        <x:v>Not Started</x:v>
      </x:c>
      <x:c r="I221" s="62"/>
      <x:c r="J221" s="66"/>
      <x:c r="K221" s="62" t="str"/>
      <x:c r="L221" s="62" t="str"/>
    </x:row>
    <x:row r="222" ht="40" customHeight="1">
      <x:c r="A222" s="62" t="str">
        <x:v>ABAP-218</x:v>
      </x:c>
      <x:c r="B222" s="62" t="str">
        <x:v>13 | Enhancements &amp; Extension Techniques</x:v>
      </x:c>
      <x:c r="C222" s="62" t="str">
        <x:v>Enhancements &amp; Extension Techniques</x:v>
      </x:c>
      <x:c r="D222" s="62" t="str">
        <x:v>Enhancement spots and composite enhancement spots</x:v>
      </x:c>
      <x:c r="E222" s="62" t="str">
        <x:v>For “Enhancement spots and composite enhancement spots”: explain its purpose and key rules, demonstrate a small example or trace, handle one common edge case/failure, and name a relevant best practice or trade-off.</x:v>
      </x:c>
      <x:c r="F222" s="62" t="str">
        <x:v>Intermediate</x:v>
      </x:c>
      <x:c r="G222" s="62" t="str">
        <x:v>P2</x:v>
      </x:c>
      <x:c r="H222" s="62" t="str">
        <x:v>Not Started</x:v>
      </x:c>
      <x:c r="I222" s="62"/>
      <x:c r="J222" s="66"/>
      <x:c r="K222" s="62" t="str"/>
      <x:c r="L222" s="62" t="str"/>
    </x:row>
    <x:row r="223" ht="40" customHeight="1">
      <x:c r="A223" s="62" t="str">
        <x:v>ABAP-219</x:v>
      </x:c>
      <x:c r="B223" s="62" t="str">
        <x:v>13 | Enhancements &amp; Extension Techniques</x:v>
      </x:c>
      <x:c r="C223" s="62" t="str">
        <x:v>Enhancements &amp; Extension Techniques</x:v>
      </x:c>
      <x:c r="D223" s="62" t="str">
        <x:v>Modification vs enhancement decision-making</x:v>
      </x:c>
      <x:c r="E223" s="62" t="str">
        <x:v>For “Modification vs enhancement decision-making”: explain its purpose and key rules, demonstrate a small example or trace, handle one common edge case/failure, and name a relevant best practice or trade-off.</x:v>
      </x:c>
      <x:c r="F223" s="62" t="str">
        <x:v>Intermediate</x:v>
      </x:c>
      <x:c r="G223" s="62" t="str">
        <x:v>P1</x:v>
      </x:c>
      <x:c r="H223" s="62" t="str">
        <x:v>Not Started</x:v>
      </x:c>
      <x:c r="I223" s="62"/>
      <x:c r="J223" s="66"/>
      <x:c r="K223" s="62" t="str"/>
      <x:c r="L223" s="62" t="str"/>
    </x:row>
    <x:row r="224" ht="40" customHeight="1">
      <x:c r="A224" s="62" t="str">
        <x:v>ABAP-220</x:v>
      </x:c>
      <x:c r="B224" s="62" t="str">
        <x:v>13 | Enhancements &amp; Extension Techniques</x:v>
      </x:c>
      <x:c r="C224" s="62" t="str">
        <x:v>Enhancements &amp; Extension Techniques</x:v>
      </x:c>
      <x:c r="D224" s="62" t="str">
        <x:v>User exit/BAdI debugging and call identification</x:v>
      </x:c>
      <x:c r="E224" s="62" t="str">
        <x:v>For “User exit/BAdI debugging and call identification”: explain its purpose and key rules, demonstrate a small example or trace, handle one common edge case/failure, and name a relevant best practice or trade-off.</x:v>
      </x:c>
      <x:c r="F224" s="62" t="str">
        <x:v>Intermediate</x:v>
      </x:c>
      <x:c r="G224" s="62" t="str">
        <x:v>P1</x:v>
      </x:c>
      <x:c r="H224" s="62" t="str">
        <x:v>Not Started</x:v>
      </x:c>
      <x:c r="I224" s="62"/>
      <x:c r="J224" s="66"/>
      <x:c r="K224" s="62" t="str"/>
      <x:c r="L224" s="62" t="str"/>
    </x:row>
    <x:row r="225" ht="40" customHeight="1">
      <x:c r="A225" s="62" t="str">
        <x:v>ABAP-221</x:v>
      </x:c>
      <x:c r="B225" s="62" t="str">
        <x:v>13 | Enhancements &amp; Extension Techniques</x:v>
      </x:c>
      <x:c r="C225" s="62" t="str">
        <x:v>Enhancements &amp; Extension Techniques</x:v>
      </x:c>
      <x:c r="D225" s="62" t="str">
        <x:v>Enhancing standard applications with upgrade safety in mind</x:v>
      </x:c>
      <x:c r="E225" s="62" t="str">
        <x:v>For “Enhancing standard applications with upgrade safety in mind”: explain its purpose and key rules, demonstrate a small example or trace, handle one common edge case/failure, and name a relevant best practice or trade-off.</x:v>
      </x:c>
      <x:c r="F225" s="62" t="str">
        <x:v>Intermediate</x:v>
      </x:c>
      <x:c r="G225" s="62" t="str">
        <x:v>P1</x:v>
      </x:c>
      <x:c r="H225" s="62" t="str">
        <x:v>Not Started</x:v>
      </x:c>
      <x:c r="I225" s="62"/>
      <x:c r="J225" s="66"/>
      <x:c r="K225" s="62" t="str"/>
      <x:c r="L225" s="62" t="str"/>
    </x:row>
    <x:row r="226" ht="40" customHeight="1">
      <x:c r="A226" s="62" t="str">
        <x:v>ABAP-222</x:v>
      </x:c>
      <x:c r="B226" s="62" t="str">
        <x:v>13 | Enhancements &amp; Extension Techniques</x:v>
      </x:c>
      <x:c r="C226" s="62" t="str">
        <x:v>Enhancements &amp; Extension Techniques</x:v>
      </x:c>
      <x:c r="D226" s="62" t="str">
        <x:v>S/4HANA extensibility options and released extension points</x:v>
      </x:c>
      <x:c r="E226" s="62" t="str">
        <x:v>For “S/4HANA extensibility options and released extension points”: explain its purpose and key rules, demonstrate a small example or trace, handle one common edge case/failure, and name a relevant best practice or trade-off.</x:v>
      </x:c>
      <x:c r="F226" s="62" t="str">
        <x:v>Intermediate</x:v>
      </x:c>
      <x:c r="G226" s="62" t="str">
        <x:v>P2</x:v>
      </x:c>
      <x:c r="H226" s="62" t="str">
        <x:v>Not Started</x:v>
      </x:c>
      <x:c r="I226" s="62"/>
      <x:c r="J226" s="66"/>
      <x:c r="K226" s="62" t="str"/>
      <x:c r="L226" s="62" t="str"/>
    </x:row>
    <x:row r="227" ht="40" customHeight="1">
      <x:c r="A227" s="62" t="str">
        <x:v>ABAP-223</x:v>
      </x:c>
      <x:c r="B227" s="62" t="str">
        <x:v>13 | Enhancements &amp; Extension Techniques</x:v>
      </x:c>
      <x:c r="C227" s="62" t="str">
        <x:v>Enhancements &amp; Extension Techniques</x:v>
      </x:c>
      <x:c r="D227" s="62" t="str">
        <x:v>Custom fields and logic extensibility concepts</x:v>
      </x:c>
      <x:c r="E227" s="62" t="str">
        <x:v>For “Custom fields and logic extensibility concepts”: explain its purpose and key rules, demonstrate a small example or trace, handle one common edge case/failure, and name a relevant best practice or trade-off.</x:v>
      </x:c>
      <x:c r="F227" s="62" t="str">
        <x:v>Intermediate</x:v>
      </x:c>
      <x:c r="G227" s="62" t="str">
        <x:v>P2</x:v>
      </x:c>
      <x:c r="H227" s="62" t="str">
        <x:v>Not Started</x:v>
      </x:c>
      <x:c r="I227" s="62"/>
      <x:c r="J227" s="66"/>
      <x:c r="K227" s="62" t="str"/>
      <x:c r="L227" s="62" t="str"/>
    </x:row>
    <x:row r="228" ht="40" customHeight="1">
      <x:c r="A228" s="62" t="str">
        <x:v>ABAP-224</x:v>
      </x:c>
      <x:c r="B228" s="62" t="str">
        <x:v>13 | Enhancements &amp; Extension Techniques</x:v>
      </x:c>
      <x:c r="C228" s="62" t="str">
        <x:v>Enhancements &amp; Extension Techniques</x:v>
      </x:c>
      <x:c r="D228" s="62" t="str">
        <x:v>Legacy modifications and SPAU/SPDD concepts</x:v>
      </x:c>
      <x:c r="E228" s="62" t="str">
        <x:v>For “Legacy modifications and SPAU/SPDD concepts”: explain its purpose and key rules, demonstrate a small example or trace, handle one common edge case/failure, and name a relevant best practice or trade-off.</x:v>
      </x:c>
      <x:c r="F228" s="62" t="str">
        <x:v>Intermediate</x:v>
      </x:c>
      <x:c r="G228" s="62" t="str">
        <x:v>P2</x:v>
      </x:c>
      <x:c r="H228" s="62" t="str">
        <x:v>Not Started</x:v>
      </x:c>
      <x:c r="I228" s="62"/>
      <x:c r="J228" s="66"/>
      <x:c r="K228" s="62" t="str"/>
      <x:c r="L228" s="62" t="str"/>
    </x:row>
    <x:row r="229" ht="40" customHeight="1">
      <x:c r="A229" s="62" t="str">
        <x:v>ABAP-225</x:v>
      </x:c>
      <x:c r="B229" s="62" t="str">
        <x:v>13 | Enhancements &amp; Extension Techniques</x:v>
      </x:c>
      <x:c r="C229" s="62" t="str">
        <x:v>Enhancements &amp; Extension Techniques</x:v>
      </x:c>
      <x:c r="D229" s="62" t="str">
        <x:v>Replacing unreleased object usage with released APIs</x:v>
      </x:c>
      <x:c r="E229" s="62" t="str">
        <x:v>For “Replacing unreleased object usage with released APIs”: explain its purpose and key rules, demonstrate a small example or trace, handle one common edge case/failure, and name a relevant best practice or trade-off.</x:v>
      </x:c>
      <x:c r="F229" s="62" t="str">
        <x:v>Intermediate</x:v>
      </x:c>
      <x:c r="G229" s="62" t="str">
        <x:v>P1</x:v>
      </x:c>
      <x:c r="H229" s="62" t="str">
        <x:v>Not Started</x:v>
      </x:c>
      <x:c r="I229" s="62"/>
      <x:c r="J229" s="66"/>
      <x:c r="K229" s="62" t="str"/>
      <x:c r="L229" s="62" t="str">
        <x:v>ABAP Cloud guide (Resources)</x:v>
      </x:c>
    </x:row>
    <x:row r="230" ht="40" customHeight="1">
      <x:c r="A230" s="62" t="str">
        <x:v>ABAP-226</x:v>
      </x:c>
      <x:c r="B230" s="62" t="str">
        <x:v>14 | Data Migration &amp; Batch Input</x:v>
      </x:c>
      <x:c r="C230" s="62" t="str">
        <x:v>Data Migration &amp; Batch Input</x:v>
      </x:c>
      <x:c r="D230" s="62" t="str">
        <x:v>BDC concepts and session method</x:v>
      </x:c>
      <x:c r="E230" s="62" t="str">
        <x:v>For “BDC concepts and session method”: explain its purpose and key rules, demonstrate a small example or trace, handle one common edge case/failure, and name a relevant best practice or trade-off.</x:v>
      </x:c>
      <x:c r="F230" s="62" t="str">
        <x:v>Intermediate</x:v>
      </x:c>
      <x:c r="G230" s="62" t="str">
        <x:v>P1</x:v>
      </x:c>
      <x:c r="H230" s="62" t="str">
        <x:v>Not Started</x:v>
      </x:c>
      <x:c r="I230" s="62"/>
      <x:c r="J230" s="66"/>
      <x:c r="K230" s="62" t="str"/>
      <x:c r="L230" s="62" t="str"/>
    </x:row>
    <x:row r="231" ht="40" customHeight="1">
      <x:c r="A231" s="62" t="str">
        <x:v>ABAP-227</x:v>
      </x:c>
      <x:c r="B231" s="62" t="str">
        <x:v>14 | Data Migration &amp; Batch Input</x:v>
      </x:c>
      <x:c r="C231" s="62" t="str">
        <x:v>Data Migration &amp; Batch Input</x:v>
      </x:c>
      <x:c r="D231" s="62" t="str">
        <x:v>CALL TRANSACTION USING and BDCDATA</x:v>
      </x:c>
      <x:c r="E231" s="62" t="str">
        <x:v>For “CALL TRANSACTION USING and BDCDATA”: explain its purpose and key rules, demonstrate a small example or trace, handle one common edge case/failure, and name a relevant best practice or trade-off.</x:v>
      </x:c>
      <x:c r="F231" s="62" t="str">
        <x:v>Intermediate</x:v>
      </x:c>
      <x:c r="G231" s="62" t="str">
        <x:v>P1</x:v>
      </x:c>
      <x:c r="H231" s="62" t="str">
        <x:v>Not Started</x:v>
      </x:c>
      <x:c r="I231" s="62"/>
      <x:c r="J231" s="66"/>
      <x:c r="K231" s="62" t="str"/>
      <x:c r="L231" s="62" t="str"/>
    </x:row>
    <x:row r="232" ht="40" customHeight="1">
      <x:c r="A232" s="62" t="str">
        <x:v>ABAP-228</x:v>
      </x:c>
      <x:c r="B232" s="62" t="str">
        <x:v>14 | Data Migration &amp; Batch Input</x:v>
      </x:c>
      <x:c r="C232" s="62" t="str">
        <x:v>Data Migration &amp; Batch Input</x:v>
      </x:c>
      <x:c r="D232" s="62" t="str">
        <x:v>SHDB recording: strengths and limitations</x:v>
      </x:c>
      <x:c r="E232" s="62" t="str">
        <x:v>For “SHDB recording: strengths and limitations”: explain its purpose and key rules, demonstrate a small example or trace, handle one common edge case/failure, and name a relevant best practice or trade-off.</x:v>
      </x:c>
      <x:c r="F232" s="62" t="str">
        <x:v>Intermediate</x:v>
      </x:c>
      <x:c r="G232" s="62" t="str">
        <x:v>P1</x:v>
      </x:c>
      <x:c r="H232" s="62" t="str">
        <x:v>Not Started</x:v>
      </x:c>
      <x:c r="I232" s="62"/>
      <x:c r="J232" s="66"/>
      <x:c r="K232" s="62" t="str"/>
      <x:c r="L232" s="62" t="str"/>
    </x:row>
    <x:row r="233" ht="40" customHeight="1">
      <x:c r="A233" s="62" t="str">
        <x:v>ABAP-229</x:v>
      </x:c>
      <x:c r="B233" s="62" t="str">
        <x:v>14 | Data Migration &amp; Batch Input</x:v>
      </x:c>
      <x:c r="C233" s="62" t="str">
        <x:v>Data Migration &amp; Batch Input</x:v>
      </x:c>
      <x:c r="D233" s="62" t="str">
        <x:v>BDC messages and BDCMSGCOLL analysis</x:v>
      </x:c>
      <x:c r="E233" s="62" t="str">
        <x:v>For “BDC messages and BDCMSGCOLL analysis”: explain its purpose and key rules, demonstrate a small example or trace, handle one common edge case/failure, and name a relevant best practice or trade-off.</x:v>
      </x:c>
      <x:c r="F233" s="62" t="str">
        <x:v>Intermediate</x:v>
      </x:c>
      <x:c r="G233" s="62" t="str">
        <x:v>P1</x:v>
      </x:c>
      <x:c r="H233" s="62" t="str">
        <x:v>Not Started</x:v>
      </x:c>
      <x:c r="I233" s="62"/>
      <x:c r="J233" s="66"/>
      <x:c r="K233" s="62" t="str"/>
      <x:c r="L233" s="62" t="str"/>
    </x:row>
    <x:row r="234" ht="40" customHeight="1">
      <x:c r="A234" s="62" t="str">
        <x:v>ABAP-230</x:v>
      </x:c>
      <x:c r="B234" s="62" t="str">
        <x:v>14 | Data Migration &amp; Batch Input</x:v>
      </x:c>
      <x:c r="C234" s="62" t="str">
        <x:v>Data Migration &amp; Batch Input</x:v>
      </x:c>
      <x:c r="D234" s="62" t="str">
        <x:v>Foreground vs background BDC and MODE/UPDATE options</x:v>
      </x:c>
      <x:c r="E234" s="62" t="str">
        <x:v>For “Foreground vs background BDC and MODE/UPDATE options”: explain its purpose and key rules, demonstrate a small example or trace, handle one common edge case/failure, and name a relevant best practice or trade-off.</x:v>
      </x:c>
      <x:c r="F234" s="62" t="str">
        <x:v>Intermediate</x:v>
      </x:c>
      <x:c r="G234" s="62" t="str">
        <x:v>P2</x:v>
      </x:c>
      <x:c r="H234" s="62" t="str">
        <x:v>Not Started</x:v>
      </x:c>
      <x:c r="I234" s="62"/>
      <x:c r="J234" s="66"/>
      <x:c r="K234" s="62" t="str"/>
      <x:c r="L234" s="62" t="str"/>
    </x:row>
    <x:row r="235" ht="40" customHeight="1">
      <x:c r="A235" s="62" t="str">
        <x:v>ABAP-231</x:v>
      </x:c>
      <x:c r="B235" s="62" t="str">
        <x:v>14 | Data Migration &amp; Batch Input</x:v>
      </x:c>
      <x:c r="C235" s="62" t="str">
        <x:v>Data Migration &amp; Batch Input</x:v>
      </x:c>
      <x:c r="D235" s="62" t="str">
        <x:v>LSMW legacy awareness and migration alternatives</x:v>
      </x:c>
      <x:c r="E235" s="62" t="str">
        <x:v>For “LSMW legacy awareness and migration alternatives”: explain its purpose and key rules, demonstrate a small example or trace, handle one common edge case/failure, and name a relevant best practice or trade-off.</x:v>
      </x:c>
      <x:c r="F235" s="62" t="str">
        <x:v>Intermediate</x:v>
      </x:c>
      <x:c r="G235" s="62" t="str">
        <x:v>P2</x:v>
      </x:c>
      <x:c r="H235" s="62" t="str">
        <x:v>Not Started</x:v>
      </x:c>
      <x:c r="I235" s="62"/>
      <x:c r="J235" s="66"/>
      <x:c r="K235" s="62" t="str"/>
      <x:c r="L235" s="62" t="str"/>
    </x:row>
    <x:row r="236" ht="40" customHeight="1">
      <x:c r="A236" s="62" t="str">
        <x:v>ABAP-232</x:v>
      </x:c>
      <x:c r="B236" s="62" t="str">
        <x:v>14 | Data Migration &amp; Batch Input</x:v>
      </x:c>
      <x:c r="C236" s="62" t="str">
        <x:v>Data Migration &amp; Batch Input</x:v>
      </x:c>
      <x:c r="D236" s="62" t="str">
        <x:v>Upload CSV/text files and frontend vs application-server files</x:v>
      </x:c>
      <x:c r="E236" s="62" t="str">
        <x:v>For “Upload CSV/text files and frontend vs application-server files”: explain its purpose and key rules, demonstrate a small example or trace, handle one common edge case/failure, and name a relevant best practice or trade-off.</x:v>
      </x:c>
      <x:c r="F236" s="62" t="str">
        <x:v>Intermediate</x:v>
      </x:c>
      <x:c r="G236" s="62" t="str">
        <x:v>P1</x:v>
      </x:c>
      <x:c r="H236" s="62" t="str">
        <x:v>Not Started</x:v>
      </x:c>
      <x:c r="I236" s="62"/>
      <x:c r="J236" s="66"/>
      <x:c r="K236" s="62" t="str"/>
      <x:c r="L236" s="62" t="str"/>
    </x:row>
    <x:row r="237" ht="40" customHeight="1">
      <x:c r="A237" s="62" t="str">
        <x:v>ABAP-233</x:v>
      </x:c>
      <x:c r="B237" s="62" t="str">
        <x:v>14 | Data Migration &amp; Batch Input</x:v>
      </x:c>
      <x:c r="C237" s="62" t="str">
        <x:v>Data Migration &amp; Batch Input</x:v>
      </x:c>
      <x:c r="D237" s="62" t="str">
        <x:v>OPEN DATASET, TRANSFER, READ DATASET and CLOSE DATASET</x:v>
      </x:c>
      <x:c r="E237" s="62" t="str">
        <x:v>For “OPEN DATASET, TRANSFER, READ DATASET and CLOSE DATASET”: explain its purpose and key rules, demonstrate a small example or trace, handle one common edge case/failure, and name a relevant best practice or trade-off.</x:v>
      </x:c>
      <x:c r="F237" s="62" t="str">
        <x:v>Intermediate</x:v>
      </x:c>
      <x:c r="G237" s="62" t="str">
        <x:v>P2</x:v>
      </x:c>
      <x:c r="H237" s="62" t="str">
        <x:v>Not Started</x:v>
      </x:c>
      <x:c r="I237" s="62"/>
      <x:c r="J237" s="66"/>
      <x:c r="K237" s="62" t="str"/>
      <x:c r="L237" s="62" t="str"/>
    </x:row>
    <x:row r="238" ht="40" customHeight="1">
      <x:c r="A238" s="62" t="str">
        <x:v>ABAP-234</x:v>
      </x:c>
      <x:c r="B238" s="62" t="str">
        <x:v>14 | Data Migration &amp; Batch Input</x:v>
      </x:c>
      <x:c r="C238" s="62" t="str">
        <x:v>Data Migration &amp; Batch Input</x:v>
      </x:c>
      <x:c r="D238" s="62" t="str">
        <x:v>Data conversion, ALPHA exits and external/internal formats</x:v>
      </x:c>
      <x:c r="E238" s="62" t="str">
        <x:v>For “Data conversion, ALPHA exits and external/internal formats”: explain its purpose and key rules, demonstrate a small example or trace, handle one common edge case/failure, and name a relevant best practice or trade-off.</x:v>
      </x:c>
      <x:c r="F238" s="62" t="str">
        <x:v>Intermediate</x:v>
      </x:c>
      <x:c r="G238" s="62" t="str">
        <x:v>P1</x:v>
      </x:c>
      <x:c r="H238" s="62" t="str">
        <x:v>Not Started</x:v>
      </x:c>
      <x:c r="I238" s="62"/>
      <x:c r="J238" s="66"/>
      <x:c r="K238" s="62" t="str"/>
      <x:c r="L238" s="62" t="str"/>
    </x:row>
    <x:row r="239" ht="40" customHeight="1">
      <x:c r="A239" s="62" t="str">
        <x:v>ABAP-235</x:v>
      </x:c>
      <x:c r="B239" s="62" t="str">
        <x:v>14 | Data Migration &amp; Batch Input</x:v>
      </x:c>
      <x:c r="C239" s="62" t="str">
        <x:v>Data Migration &amp; Batch Input</x:v>
      </x:c>
      <x:c r="D239" s="62" t="str">
        <x:v>Restartability, test mode, validation and reconciliation</x:v>
      </x:c>
      <x:c r="E239" s="62" t="str">
        <x:v>For “Restartability, test mode, validation and reconciliation”: explain its purpose and key rules, demonstrate a small example or trace, handle one common edge case/failure, and name a relevant best practice or trade-off.</x:v>
      </x:c>
      <x:c r="F239" s="62" t="str">
        <x:v>Intermediate</x:v>
      </x:c>
      <x:c r="G239" s="62" t="str">
        <x:v>P1</x:v>
      </x:c>
      <x:c r="H239" s="62" t="str">
        <x:v>Not Started</x:v>
      </x:c>
      <x:c r="I239" s="62"/>
      <x:c r="J239" s="66"/>
      <x:c r="K239" s="62" t="str"/>
      <x:c r="L239" s="62" t="str">
        <x:v>ABAP Unit resources (Resources)</x:v>
      </x:c>
    </x:row>
    <x:row r="240" ht="40" customHeight="1">
      <x:c r="A240" s="62" t="str">
        <x:v>ABAP-236</x:v>
      </x:c>
      <x:c r="B240" s="62" t="str">
        <x:v>15 | Function Modules, BAPIs &amp; RFC</x:v>
      </x:c>
      <x:c r="C240" s="62" t="str">
        <x:v>Function Modules, BAPIs &amp; RFC</x:v>
      </x:c>
      <x:c r="D240" s="62" t="str">
        <x:v>Function module interfaces, function groups and exceptions</x:v>
      </x:c>
      <x:c r="E240" s="62" t="str">
        <x:v>For “Function module interfaces, function groups and exceptions”: explain its purpose and key rules, demonstrate a small example or trace, handle one common edge case/failure, and name a relevant best practice or trade-off.</x:v>
      </x:c>
      <x:c r="F240" s="62" t="str">
        <x:v>Intermediate</x:v>
      </x:c>
      <x:c r="G240" s="62" t="str">
        <x:v>P1</x:v>
      </x:c>
      <x:c r="H240" s="62" t="str">
        <x:v>Not Started</x:v>
      </x:c>
      <x:c r="I240" s="62"/>
      <x:c r="J240" s="66"/>
      <x:c r="K240" s="62" t="str"/>
      <x:c r="L240" s="62" t="str"/>
    </x:row>
    <x:row r="241" ht="40" customHeight="1">
      <x:c r="A241" s="62" t="str">
        <x:v>ABAP-237</x:v>
      </x:c>
      <x:c r="B241" s="62" t="str">
        <x:v>15 | Function Modules, BAPIs &amp; RFC</x:v>
      </x:c>
      <x:c r="C241" s="62" t="str">
        <x:v>Function Modules, BAPIs &amp; RFC</x:v>
      </x:c>
      <x:c r="D241" s="62" t="str">
        <x:v>RFC-enabled function modules and RFC destinations</x:v>
      </x:c>
      <x:c r="E241" s="62" t="str">
        <x:v>For “RFC-enabled function modules and RFC destinations”: explain its purpose and key rules, demonstrate a small example or trace, handle one common edge case/failure, and name a relevant best practice or trade-off.</x:v>
      </x:c>
      <x:c r="F241" s="62" t="str">
        <x:v>Intermediate</x:v>
      </x:c>
      <x:c r="G241" s="62" t="str">
        <x:v>P1</x:v>
      </x:c>
      <x:c r="H241" s="62" t="str">
        <x:v>Not Started</x:v>
      </x:c>
      <x:c r="I241" s="62"/>
      <x:c r="J241" s="66"/>
      <x:c r="K241" s="62" t="str"/>
      <x:c r="L241" s="62" t="str"/>
    </x:row>
    <x:row r="242" ht="40" customHeight="1">
      <x:c r="A242" s="62" t="str">
        <x:v>ABAP-238</x:v>
      </x:c>
      <x:c r="B242" s="62" t="str">
        <x:v>15 | Function Modules, BAPIs &amp; RFC</x:v>
      </x:c>
      <x:c r="C242" s="62" t="str">
        <x:v>Function Modules, BAPIs &amp; RFC</x:v>
      </x:c>
      <x:c r="D242" s="62" t="str">
        <x:v>BAPI design principles and business-object methods</x:v>
      </x:c>
      <x:c r="E242" s="62" t="str">
        <x:v>For “BAPI design principles and business-object methods”: explain its purpose and key rules, demonstrate a small example or trace, handle one common edge case/failure, and name a relevant best practice or trade-off.</x:v>
      </x:c>
      <x:c r="F242" s="62" t="str">
        <x:v>Intermediate</x:v>
      </x:c>
      <x:c r="G242" s="62" t="str">
        <x:v>P1</x:v>
      </x:c>
      <x:c r="H242" s="62" t="str">
        <x:v>Not Started</x:v>
      </x:c>
      <x:c r="I242" s="62"/>
      <x:c r="J242" s="66"/>
      <x:c r="K242" s="62" t="str"/>
      <x:c r="L242" s="62" t="str"/>
    </x:row>
    <x:row r="243" ht="40" customHeight="1">
      <x:c r="A243" s="62" t="str">
        <x:v>ABAP-239</x:v>
      </x:c>
      <x:c r="B243" s="62" t="str">
        <x:v>15 | Function Modules, BAPIs &amp; RFC</x:v>
      </x:c>
      <x:c r="C243" s="62" t="str">
        <x:v>Function Modules, BAPIs &amp; RFC</x:v>
      </x:c>
      <x:c r="D243" s="62" t="str">
        <x:v>BAPI_TRANSACTION_COMMIT and WAIT parameter</x:v>
      </x:c>
      <x:c r="E243" s="62" t="str">
        <x:v>For “BAPI_TRANSACTION_COMMIT and WAIT parameter”: explain its purpose and key rules, demonstrate a small example or trace, handle one common edge case/failure, and name a relevant best practice or trade-off.</x:v>
      </x:c>
      <x:c r="F243" s="62" t="str">
        <x:v>Intermediate</x:v>
      </x:c>
      <x:c r="G243" s="62" t="str">
        <x:v>P1</x:v>
      </x:c>
      <x:c r="H243" s="62" t="str">
        <x:v>Not Started</x:v>
      </x:c>
      <x:c r="I243" s="62"/>
      <x:c r="J243" s="66"/>
      <x:c r="K243" s="62" t="str"/>
      <x:c r="L243" s="62" t="str"/>
    </x:row>
    <x:row r="244" ht="40" customHeight="1">
      <x:c r="A244" s="62" t="str">
        <x:v>ABAP-240</x:v>
      </x:c>
      <x:c r="B244" s="62" t="str">
        <x:v>15 | Function Modules, BAPIs &amp; RFC</x:v>
      </x:c>
      <x:c r="C244" s="62" t="str">
        <x:v>Function Modules, BAPIs &amp; RFC</x:v>
      </x:c>
      <x:c r="D244" s="62" t="str">
        <x:v>BAPI_TRANSACTION_ROLLBACK and LUW boundaries</x:v>
      </x:c>
      <x:c r="E244" s="62" t="str">
        <x:v>For “BAPI_TRANSACTION_ROLLBACK and LUW boundaries”: explain its purpose and key rules, demonstrate a small example or trace, handle one common edge case/failure, and name a relevant best practice or trade-off.</x:v>
      </x:c>
      <x:c r="F244" s="62" t="str">
        <x:v>Intermediate</x:v>
      </x:c>
      <x:c r="G244" s="62" t="str">
        <x:v>P1</x:v>
      </x:c>
      <x:c r="H244" s="62" t="str">
        <x:v>Not Started</x:v>
      </x:c>
      <x:c r="I244" s="62"/>
      <x:c r="J244" s="66"/>
      <x:c r="K244" s="62" t="str"/>
      <x:c r="L244" s="62" t="str"/>
    </x:row>
    <x:row r="245" ht="40" customHeight="1">
      <x:c r="A245" s="62" t="str">
        <x:v>ABAP-241</x:v>
      </x:c>
      <x:c r="B245" s="62" t="str">
        <x:v>15 | Function Modules, BAPIs &amp; RFC</x:v>
      </x:c>
      <x:c r="C245" s="62" t="str">
        <x:v>Function Modules, BAPIs &amp; RFC</x:v>
      </x:c>
      <x:c r="D245" s="62" t="str">
        <x:v>BAPI return messages and application errors</x:v>
      </x:c>
      <x:c r="E245" s="62" t="str">
        <x:v>For “BAPI return messages and application errors”: explain its purpose and key rules, demonstrate a small example or trace, handle one common edge case/failure, and name a relevant best practice or trade-off.</x:v>
      </x:c>
      <x:c r="F245" s="62" t="str">
        <x:v>Intermediate</x:v>
      </x:c>
      <x:c r="G245" s="62" t="str">
        <x:v>P1</x:v>
      </x:c>
      <x:c r="H245" s="62" t="str">
        <x:v>Not Started</x:v>
      </x:c>
      <x:c r="I245" s="62"/>
      <x:c r="J245" s="66"/>
      <x:c r="K245" s="62" t="str"/>
      <x:c r="L245" s="62" t="str"/>
    </x:row>
    <x:row r="246" ht="40" customHeight="1">
      <x:c r="A246" s="62" t="str">
        <x:v>ABAP-242</x:v>
      </x:c>
      <x:c r="B246" s="62" t="str">
        <x:v>15 | Function Modules, BAPIs &amp; RFC</x:v>
      </x:c>
      <x:c r="C246" s="62" t="str">
        <x:v>Function Modules, BAPIs &amp; RFC</x:v>
      </x:c>
      <x:c r="D246" s="62" t="str">
        <x:v>BAPI data structures, extension structures and X flags</x:v>
      </x:c>
      <x:c r="E246" s="62" t="str">
        <x:v>For “BAPI data structures, extension structures and X flags”: explain its purpose and key rules, demonstrate a small example or trace, handle one common edge case/failure, and name a relevant best practice or trade-off.</x:v>
      </x:c>
      <x:c r="F246" s="62" t="str">
        <x:v>Intermediate</x:v>
      </x:c>
      <x:c r="G246" s="62" t="str">
        <x:v>P1</x:v>
      </x:c>
      <x:c r="H246" s="62" t="str">
        <x:v>Not Started</x:v>
      </x:c>
      <x:c r="I246" s="62"/>
      <x:c r="J246" s="66"/>
      <x:c r="K246" s="62" t="str"/>
      <x:c r="L246" s="62" t="str"/>
    </x:row>
    <x:row r="247" ht="40" customHeight="1">
      <x:c r="A247" s="62" t="str">
        <x:v>ABAP-243</x:v>
      </x:c>
      <x:c r="B247" s="62" t="str">
        <x:v>15 | Function Modules, BAPIs &amp; RFC</x:v>
      </x:c>
      <x:c r="C247" s="62" t="str">
        <x:v>Function Modules, BAPIs &amp; RFC</x:v>
      </x:c>
      <x:c r="D247" s="62" t="str">
        <x:v>BAPI_PR_CHANGE / BAPI_PO_CREATE1 usage patterns</x:v>
      </x:c>
      <x:c r="E247" s="62" t="str">
        <x:v>For “BAPI_PR_CHANGE / BAPI_PO_CREATE1 usage patterns”: explain its purpose and key rules, demonstrate a small example or trace, handle one common edge case/failure, and name a relevant best practice or trade-off.</x:v>
      </x:c>
      <x:c r="F247" s="62" t="str">
        <x:v>Intermediate</x:v>
      </x:c>
      <x:c r="G247" s="62" t="str">
        <x:v>P2</x:v>
      </x:c>
      <x:c r="H247" s="62" t="str">
        <x:v>Not Started</x:v>
      </x:c>
      <x:c r="I247" s="62"/>
      <x:c r="J247" s="66"/>
      <x:c r="K247" s="62" t="str"/>
      <x:c r="L247" s="62" t="str"/>
    </x:row>
    <x:row r="248" ht="40" customHeight="1">
      <x:c r="A248" s="62" t="str">
        <x:v>ABAP-244</x:v>
      </x:c>
      <x:c r="B248" s="62" t="str">
        <x:v>15 | Function Modules, BAPIs &amp; RFC</x:v>
      </x:c>
      <x:c r="C248" s="62" t="str">
        <x:v>Function Modules, BAPIs &amp; RFC</x:v>
      </x:c>
      <x:c r="D248" s="62" t="str">
        <x:v>BAPI vs direct database update: why direct updates are unsafe</x:v>
      </x:c>
      <x:c r="E248" s="62" t="str">
        <x:v>For “BAPI vs direct database update: why direct updates are unsafe”: explain its purpose and key rules, demonstrate a small example or trace, handle one common edge case/failure, and name a relevant best practice or trade-off.</x:v>
      </x:c>
      <x:c r="F248" s="62" t="str">
        <x:v>Intermediate</x:v>
      </x:c>
      <x:c r="G248" s="62" t="str">
        <x:v>P1</x:v>
      </x:c>
      <x:c r="H248" s="62" t="str">
        <x:v>Not Started</x:v>
      </x:c>
      <x:c r="I248" s="62"/>
      <x:c r="J248" s="66"/>
      <x:c r="K248" s="62" t="str"/>
      <x:c r="L248" s="62" t="str"/>
    </x:row>
    <x:row r="249" ht="40" customHeight="1">
      <x:c r="A249" s="62" t="str">
        <x:v>ABAP-245</x:v>
      </x:c>
      <x:c r="B249" s="62" t="str">
        <x:v>15 | Function Modules, BAPIs &amp; RFC</x:v>
      </x:c>
      <x:c r="C249" s="62" t="str">
        <x:v>Function Modules, BAPIs &amp; RFC</x:v>
      </x:c>
      <x:c r="D249" s="62" t="str">
        <x:v>Synchronous RFC (sRFC)</x:v>
      </x:c>
      <x:c r="E249" s="62" t="str">
        <x:v>For “Synchronous RFC (sRFC)”: explain its purpose and key rules, demonstrate a small example or trace, handle one common edge case/failure, and name a relevant best practice or trade-off.</x:v>
      </x:c>
      <x:c r="F249" s="62" t="str">
        <x:v>Intermediate</x:v>
      </x:c>
      <x:c r="G249" s="62" t="str">
        <x:v>P2</x:v>
      </x:c>
      <x:c r="H249" s="62" t="str">
        <x:v>Not Started</x:v>
      </x:c>
      <x:c r="I249" s="62"/>
      <x:c r="J249" s="66"/>
      <x:c r="K249" s="62" t="str"/>
      <x:c r="L249" s="62" t="str"/>
    </x:row>
    <x:row r="250" ht="40" customHeight="1">
      <x:c r="A250" s="62" t="str">
        <x:v>ABAP-246</x:v>
      </x:c>
      <x:c r="B250" s="62" t="str">
        <x:v>15 | Function Modules, BAPIs &amp; RFC</x:v>
      </x:c>
      <x:c r="C250" s="62" t="str">
        <x:v>Function Modules, BAPIs &amp; RFC</x:v>
      </x:c>
      <x:c r="D250" s="62" t="str">
        <x:v>Transactional RFC (tRFC) and SM58</x:v>
      </x:c>
      <x:c r="E250" s="62" t="str">
        <x:v>For “Transactional RFC (tRFC) and SM58”: explain its purpose and key rules, demonstrate a small example or trace, handle one common edge case/failure, and name a relevant best practice or trade-off.</x:v>
      </x:c>
      <x:c r="F250" s="62" t="str">
        <x:v>Intermediate</x:v>
      </x:c>
      <x:c r="G250" s="62" t="str">
        <x:v>P2</x:v>
      </x:c>
      <x:c r="H250" s="62" t="str">
        <x:v>Not Started</x:v>
      </x:c>
      <x:c r="I250" s="62"/>
      <x:c r="J250" s="66"/>
      <x:c r="K250" s="62" t="str"/>
      <x:c r="L250" s="62" t="str"/>
    </x:row>
    <x:row r="251" ht="40" customHeight="1">
      <x:c r="A251" s="62" t="str">
        <x:v>ABAP-247</x:v>
      </x:c>
      <x:c r="B251" s="62" t="str">
        <x:v>15 | Function Modules, BAPIs &amp; RFC</x:v>
      </x:c>
      <x:c r="C251" s="62" t="str">
        <x:v>Function Modules, BAPIs &amp; RFC</x:v>
      </x:c>
      <x:c r="D251" s="62" t="str">
        <x:v>Queued RFC (qRFC) and queue monitoring</x:v>
      </x:c>
      <x:c r="E251" s="62" t="str">
        <x:v>For “Queued RFC (qRFC) and queue monitoring”: explain its purpose and key rules, demonstrate a small example or trace, handle one common edge case/failure, and name a relevant best practice or trade-off.</x:v>
      </x:c>
      <x:c r="F251" s="62" t="str">
        <x:v>Intermediate</x:v>
      </x:c>
      <x:c r="G251" s="62" t="str">
        <x:v>P2</x:v>
      </x:c>
      <x:c r="H251" s="62" t="str">
        <x:v>Not Started</x:v>
      </x:c>
      <x:c r="I251" s="62"/>
      <x:c r="J251" s="66"/>
      <x:c r="K251" s="62" t="str"/>
      <x:c r="L251" s="62" t="str"/>
    </x:row>
    <x:row r="252" ht="40" customHeight="1">
      <x:c r="A252" s="62" t="str">
        <x:v>ABAP-248</x:v>
      </x:c>
      <x:c r="B252" s="62" t="str">
        <x:v>15 | Function Modules, BAPIs &amp; RFC</x:v>
      </x:c>
      <x:c r="C252" s="62" t="str">
        <x:v>Function Modules, BAPIs &amp; RFC</x:v>
      </x:c>
      <x:c r="D252" s="62" t="str">
        <x:v>Background RFC (bgRFC) awareness</x:v>
      </x:c>
      <x:c r="E252" s="62" t="str">
        <x:v>For “Background RFC (bgRFC) awareness”: explain its purpose and key rules, demonstrate a small example or trace, handle one common edge case/failure, and name a relevant best practice or trade-off.</x:v>
      </x:c>
      <x:c r="F252" s="62" t="str">
        <x:v>Specialized</x:v>
      </x:c>
      <x:c r="G252" s="62" t="str">
        <x:v>P3</x:v>
      </x:c>
      <x:c r="H252" s="62" t="str">
        <x:v>Not Started</x:v>
      </x:c>
      <x:c r="I252" s="62"/>
      <x:c r="J252" s="66"/>
      <x:c r="K252" s="62" t="str"/>
      <x:c r="L252" s="62" t="str"/>
    </x:row>
    <x:row r="253" ht="40" customHeight="1">
      <x:c r="A253" s="62" t="str">
        <x:v>ABAP-249</x:v>
      </x:c>
      <x:c r="B253" s="62" t="str">
        <x:v>15 | Function Modules, BAPIs &amp; RFC</x:v>
      </x:c>
      <x:c r="C253" s="62" t="str">
        <x:v>Function Modules, BAPIs &amp; RFC</x:v>
      </x:c>
      <x:c r="D253" s="62" t="str">
        <x:v>RFC authorization, destination and connectivity troubleshooting</x:v>
      </x:c>
      <x:c r="E253" s="62" t="str">
        <x:v>For “RFC authorization, destination and connectivity troubleshooting”: explain its purpose and key rules, demonstrate a small example or trace, handle one common edge case/failure, and name a relevant best practice or trade-off.</x:v>
      </x:c>
      <x:c r="F253" s="62" t="str">
        <x:v>Intermediate</x:v>
      </x:c>
      <x:c r="G253" s="62" t="str">
        <x:v>P1</x:v>
      </x:c>
      <x:c r="H253" s="62" t="str">
        <x:v>Not Started</x:v>
      </x:c>
      <x:c r="I253" s="62"/>
      <x:c r="J253" s="66"/>
      <x:c r="K253" s="62" t="str"/>
      <x:c r="L253" s="62" t="str"/>
    </x:row>
    <x:row r="254" ht="40" customHeight="1">
      <x:c r="A254" s="62" t="str">
        <x:v>ABAP-250</x:v>
      </x:c>
      <x:c r="B254" s="62" t="str">
        <x:v>16 | IDoc, ALE &amp; EDI</x:v>
      </x:c>
      <x:c r="C254" s="62" t="str">
        <x:v>IDoc, ALE &amp; EDI</x:v>
      </x:c>
      <x:c r="D254" s="62" t="str">
        <x:v>IDoc architecture: control, data and status records</x:v>
      </x:c>
      <x:c r="E254" s="62" t="str">
        <x:v>For “IDoc architecture: control, data and status records”: explain its purpose and key rules, demonstrate a small example or trace, handle one common edge case/failure, and name a relevant best practice or trade-off.</x:v>
      </x:c>
      <x:c r="F254" s="62" t="str">
        <x:v>Intermediate</x:v>
      </x:c>
      <x:c r="G254" s="62" t="str">
        <x:v>P1</x:v>
      </x:c>
      <x:c r="H254" s="62" t="str">
        <x:v>Not Started</x:v>
      </x:c>
      <x:c r="I254" s="62"/>
      <x:c r="J254" s="66"/>
      <x:c r="K254" s="62" t="str"/>
      <x:c r="L254" s="62" t="str"/>
    </x:row>
    <x:row r="255" ht="40" customHeight="1">
      <x:c r="A255" s="62" t="str">
        <x:v>ABAP-251</x:v>
      </x:c>
      <x:c r="B255" s="62" t="str">
        <x:v>16 | IDoc, ALE &amp; EDI</x:v>
      </x:c>
      <x:c r="C255" s="62" t="str">
        <x:v>IDoc, ALE &amp; EDI</x:v>
      </x:c>
      <x:c r="D255" s="62" t="str">
        <x:v>Basic type, extension and message type</x:v>
      </x:c>
      <x:c r="E255" s="62" t="str">
        <x:v>For “Basic type, extension and message type”: explain its purpose and key rules, demonstrate a small example or trace, handle one common edge case/failure, and name a relevant best practice or trade-off.</x:v>
      </x:c>
      <x:c r="F255" s="62" t="str">
        <x:v>Intermediate</x:v>
      </x:c>
      <x:c r="G255" s="62" t="str">
        <x:v>P1</x:v>
      </x:c>
      <x:c r="H255" s="62" t="str">
        <x:v>Not Started</x:v>
      </x:c>
      <x:c r="I255" s="62"/>
      <x:c r="J255" s="66"/>
      <x:c r="K255" s="62" t="str"/>
      <x:c r="L255" s="62" t="str"/>
    </x:row>
    <x:row r="256" ht="40" customHeight="1">
      <x:c r="A256" s="62" t="str">
        <x:v>ABAP-252</x:v>
      </x:c>
      <x:c r="B256" s="62" t="str">
        <x:v>16 | IDoc, ALE &amp; EDI</x:v>
      </x:c>
      <x:c r="C256" s="62" t="str">
        <x:v>IDoc, ALE &amp; EDI</x:v>
      </x:c>
      <x:c r="D256" s="62" t="str">
        <x:v>WE20 partner profiles and outbound/inbound parameters</x:v>
      </x:c>
      <x:c r="E256" s="62" t="str">
        <x:v>For “WE20 partner profiles and outbound/inbound parameters”: explain its purpose and key rules, demonstrate a small example or trace, handle one common edge case/failure, and name a relevant best practice or trade-off.</x:v>
      </x:c>
      <x:c r="F256" s="62" t="str">
        <x:v>Intermediate</x:v>
      </x:c>
      <x:c r="G256" s="62" t="str">
        <x:v>P1</x:v>
      </x:c>
      <x:c r="H256" s="62" t="str">
        <x:v>Not Started</x:v>
      </x:c>
      <x:c r="I256" s="62"/>
      <x:c r="J256" s="66"/>
      <x:c r="K256" s="62" t="str"/>
      <x:c r="L256" s="62" t="str"/>
    </x:row>
    <x:row r="257" ht="40" customHeight="1">
      <x:c r="A257" s="62" t="str">
        <x:v>ABAP-253</x:v>
      </x:c>
      <x:c r="B257" s="62" t="str">
        <x:v>16 | IDoc, ALE &amp; EDI</x:v>
      </x:c>
      <x:c r="C257" s="62" t="str">
        <x:v>IDoc, ALE &amp; EDI</x:v>
      </x:c>
      <x:c r="D257" s="62" t="str">
        <x:v>WE21 ports and RFC/file port concepts</x:v>
      </x:c>
      <x:c r="E257" s="62" t="str">
        <x:v>For “WE21 ports and RFC/file port concepts”: explain its purpose and key rules, demonstrate a small example or trace, handle one common edge case/failure, and name a relevant best practice or trade-off.</x:v>
      </x:c>
      <x:c r="F257" s="62" t="str">
        <x:v>Intermediate</x:v>
      </x:c>
      <x:c r="G257" s="62" t="str">
        <x:v>P2</x:v>
      </x:c>
      <x:c r="H257" s="62" t="str">
        <x:v>Not Started</x:v>
      </x:c>
      <x:c r="I257" s="62"/>
      <x:c r="J257" s="66"/>
      <x:c r="K257" s="62" t="str"/>
      <x:c r="L257" s="62" t="str"/>
    </x:row>
    <x:row r="258" ht="40" customHeight="1">
      <x:c r="A258" s="62" t="str">
        <x:v>ABAP-254</x:v>
      </x:c>
      <x:c r="B258" s="62" t="str">
        <x:v>16 | IDoc, ALE &amp; EDI</x:v>
      </x:c>
      <x:c r="C258" s="62" t="str">
        <x:v>IDoc, ALE &amp; EDI</x:v>
      </x:c>
      <x:c r="D258" s="62" t="str">
        <x:v>Logical systems and distribution models (BD54/SALE)</x:v>
      </x:c>
      <x:c r="E258" s="62" t="str">
        <x:v>For “Logical systems and distribution models (BD54/SALE)”: explain its purpose and key rules, demonstrate a small example or trace, handle one common edge case/failure, and name a relevant best practice or trade-off.</x:v>
      </x:c>
      <x:c r="F258" s="62" t="str">
        <x:v>Intermediate</x:v>
      </x:c>
      <x:c r="G258" s="62" t="str">
        <x:v>P2</x:v>
      </x:c>
      <x:c r="H258" s="62" t="str">
        <x:v>Not Started</x:v>
      </x:c>
      <x:c r="I258" s="62"/>
      <x:c r="J258" s="66"/>
      <x:c r="K258" s="62" t="str"/>
      <x:c r="L258" s="62" t="str"/>
    </x:row>
    <x:row r="259" ht="40" customHeight="1">
      <x:c r="A259" s="62" t="str">
        <x:v>ABAP-255</x:v>
      </x:c>
      <x:c r="B259" s="62" t="str">
        <x:v>16 | IDoc, ALE &amp; EDI</x:v>
      </x:c>
      <x:c r="C259" s="62" t="str">
        <x:v>IDoc, ALE &amp; EDI</x:v>
      </x:c>
      <x:c r="D259" s="62" t="str">
        <x:v>Outbound IDoc processing and output triggers</x:v>
      </x:c>
      <x:c r="E259" s="62" t="str">
        <x:v>For “Outbound IDoc processing and output triggers”: explain its purpose and key rules, demonstrate a small example or trace, handle one common edge case/failure, and name a relevant best practice or trade-off.</x:v>
      </x:c>
      <x:c r="F259" s="62" t="str">
        <x:v>Intermediate</x:v>
      </x:c>
      <x:c r="G259" s="62" t="str">
        <x:v>P1</x:v>
      </x:c>
      <x:c r="H259" s="62" t="str">
        <x:v>Not Started</x:v>
      </x:c>
      <x:c r="I259" s="62"/>
      <x:c r="J259" s="66"/>
      <x:c r="K259" s="62" t="str"/>
      <x:c r="L259" s="62" t="str"/>
    </x:row>
    <x:row r="260" ht="40" customHeight="1">
      <x:c r="A260" s="62" t="str">
        <x:v>ABAP-256</x:v>
      </x:c>
      <x:c r="B260" s="62" t="str">
        <x:v>16 | IDoc, ALE &amp; EDI</x:v>
      </x:c>
      <x:c r="C260" s="62" t="str">
        <x:v>IDoc, ALE &amp; EDI</x:v>
      </x:c>
      <x:c r="D260" s="62" t="str">
        <x:v>Inbound IDoc process codes and function modules</x:v>
      </x:c>
      <x:c r="E260" s="62" t="str">
        <x:v>For “Inbound IDoc process codes and function modules”: explain its purpose and key rules, demonstrate a small example or trace, handle one common edge case/failure, and name a relevant best practice or trade-off.</x:v>
      </x:c>
      <x:c r="F260" s="62" t="str">
        <x:v>Intermediate</x:v>
      </x:c>
      <x:c r="G260" s="62" t="str">
        <x:v>P1</x:v>
      </x:c>
      <x:c r="H260" s="62" t="str">
        <x:v>Not Started</x:v>
      </x:c>
      <x:c r="I260" s="62"/>
      <x:c r="J260" s="66"/>
      <x:c r="K260" s="62" t="str"/>
      <x:c r="L260" s="62" t="str"/>
    </x:row>
    <x:row r="261" ht="40" customHeight="1">
      <x:c r="A261" s="62" t="str">
        <x:v>ABAP-257</x:v>
      </x:c>
      <x:c r="B261" s="62" t="str">
        <x:v>16 | IDoc, ALE &amp; EDI</x:v>
      </x:c>
      <x:c r="C261" s="62" t="str">
        <x:v>IDoc, ALE &amp; EDI</x:v>
      </x:c>
      <x:c r="D261" s="62" t="str">
        <x:v>WE02/WE05 IDoc display and filtering</x:v>
      </x:c>
      <x:c r="E261" s="62" t="str">
        <x:v>For “WE02/WE05 IDoc display and filtering”: explain its purpose and key rules, demonstrate a small example or trace, handle one common edge case/failure, and name a relevant best practice or trade-off.</x:v>
      </x:c>
      <x:c r="F261" s="62" t="str">
        <x:v>Intermediate</x:v>
      </x:c>
      <x:c r="G261" s="62" t="str">
        <x:v>P1</x:v>
      </x:c>
      <x:c r="H261" s="62" t="str">
        <x:v>Not Started</x:v>
      </x:c>
      <x:c r="I261" s="62"/>
      <x:c r="J261" s="66"/>
      <x:c r="K261" s="62" t="str"/>
      <x:c r="L261" s="62" t="str"/>
    </x:row>
    <x:row r="262" ht="40" customHeight="1">
      <x:c r="A262" s="62" t="str">
        <x:v>ABAP-258</x:v>
      </x:c>
      <x:c r="B262" s="62" t="str">
        <x:v>16 | IDoc, ALE &amp; EDI</x:v>
      </x:c>
      <x:c r="C262" s="62" t="str">
        <x:v>IDoc, ALE &amp; EDI</x:v>
      </x:c>
      <x:c r="D262" s="62" t="str">
        <x:v>BD87 reprocessing and status analysis</x:v>
      </x:c>
      <x:c r="E262" s="62" t="str">
        <x:v>For “BD87 reprocessing and status analysis”: explain its purpose and key rules, demonstrate a small example or trace, handle one common edge case/failure, and name a relevant best practice or trade-off.</x:v>
      </x:c>
      <x:c r="F262" s="62" t="str">
        <x:v>Intermediate</x:v>
      </x:c>
      <x:c r="G262" s="62" t="str">
        <x:v>P1</x:v>
      </x:c>
      <x:c r="H262" s="62" t="str">
        <x:v>Not Started</x:v>
      </x:c>
      <x:c r="I262" s="62"/>
      <x:c r="J262" s="66"/>
      <x:c r="K262" s="62" t="str"/>
      <x:c r="L262" s="62" t="str"/>
    </x:row>
    <x:row r="263" ht="40" customHeight="1">
      <x:c r="A263" s="62" t="str">
        <x:v>ABAP-259</x:v>
      </x:c>
      <x:c r="B263" s="62" t="str">
        <x:v>16 | IDoc, ALE &amp; EDI</x:v>
      </x:c>
      <x:c r="C263" s="62" t="str">
        <x:v>IDoc, ALE &amp; EDI</x:v>
      </x:c>
      <x:c r="D263" s="62" t="str">
        <x:v>Common IDoc statuses and error resolution</x:v>
      </x:c>
      <x:c r="E263" s="62" t="str">
        <x:v>For “Common IDoc statuses and error resolution”: explain its purpose and key rules, demonstrate a small example or trace, handle one common edge case/failure, and name a relevant best practice or trade-off.</x:v>
      </x:c>
      <x:c r="F263" s="62" t="str">
        <x:v>Intermediate</x:v>
      </x:c>
      <x:c r="G263" s="62" t="str">
        <x:v>P1</x:v>
      </x:c>
      <x:c r="H263" s="62" t="str">
        <x:v>Not Started</x:v>
      </x:c>
      <x:c r="I263" s="62"/>
      <x:c r="J263" s="66"/>
      <x:c r="K263" s="62" t="str"/>
      <x:c r="L263" s="62" t="str"/>
    </x:row>
    <x:row r="264" ht="40" customHeight="1">
      <x:c r="A264" s="62" t="str">
        <x:v>ABAP-260</x:v>
      </x:c>
      <x:c r="B264" s="62" t="str">
        <x:v>16 | IDoc, ALE &amp; EDI</x:v>
      </x:c>
      <x:c r="C264" s="62" t="str">
        <x:v>IDoc, ALE &amp; EDI</x:v>
      </x:c>
      <x:c r="D264" s="62" t="str">
        <x:v>Change pointers and BDCP2/BD50/BD52 concepts</x:v>
      </x:c>
      <x:c r="E264" s="62" t="str">
        <x:v>For “Change pointers and BDCP2/BD50/BD52 concepts”: explain its purpose and key rules, demonstrate a small example or trace, handle one common edge case/failure, and name a relevant best practice or trade-off.</x:v>
      </x:c>
      <x:c r="F264" s="62" t="str">
        <x:v>Intermediate</x:v>
      </x:c>
      <x:c r="G264" s="62" t="str">
        <x:v>P2</x:v>
      </x:c>
      <x:c r="H264" s="62" t="str">
        <x:v>Not Started</x:v>
      </x:c>
      <x:c r="I264" s="62"/>
      <x:c r="J264" s="66"/>
      <x:c r="K264" s="62" t="str"/>
      <x:c r="L264" s="62" t="str"/>
    </x:row>
    <x:row r="265" ht="40" customHeight="1">
      <x:c r="A265" s="62" t="str">
        <x:v>ABAP-261</x:v>
      </x:c>
      <x:c r="B265" s="62" t="str">
        <x:v>16 | IDoc, ALE &amp; EDI</x:v>
      </x:c>
      <x:c r="C265" s="62" t="str">
        <x:v>IDoc, ALE &amp; EDI</x:v>
      </x:c>
      <x:c r="D265" s="62" t="str">
        <x:v>IDoc extensions and segment handling</x:v>
      </x:c>
      <x:c r="E265" s="62" t="str">
        <x:v>For “IDoc extensions and segment handling”: explain its purpose and key rules, demonstrate a small example or trace, handle one common edge case/failure, and name a relevant best practice or trade-off.</x:v>
      </x:c>
      <x:c r="F265" s="62" t="str">
        <x:v>Intermediate</x:v>
      </x:c>
      <x:c r="G265" s="62" t="str">
        <x:v>P2</x:v>
      </x:c>
      <x:c r="H265" s="62" t="str">
        <x:v>Not Started</x:v>
      </x:c>
      <x:c r="I265" s="62"/>
      <x:c r="J265" s="66"/>
      <x:c r="K265" s="62" t="str"/>
      <x:c r="L265" s="62" t="str"/>
    </x:row>
    <x:row r="266" ht="40" customHeight="1">
      <x:c r="A266" s="62" t="str">
        <x:v>ABAP-262</x:v>
      </x:c>
      <x:c r="B266" s="62" t="str">
        <x:v>16 | IDoc, ALE &amp; EDI</x:v>
      </x:c>
      <x:c r="C266" s="62" t="str">
        <x:v>IDoc, ALE &amp; EDI</x:v>
      </x:c>
      <x:c r="D266" s="62" t="str">
        <x:v>Serialization and message ordering concepts</x:v>
      </x:c>
      <x:c r="E266" s="62" t="str">
        <x:v>For “Serialization and message ordering concepts”: explain its purpose and key rules, demonstrate a small example or trace, handle one common edge case/failure, and name a relevant best practice or trade-off.</x:v>
      </x:c>
      <x:c r="F266" s="62" t="str">
        <x:v>Intermediate</x:v>
      </x:c>
      <x:c r="G266" s="62" t="str">
        <x:v>P2</x:v>
      </x:c>
      <x:c r="H266" s="62" t="str">
        <x:v>Not Started</x:v>
      </x:c>
      <x:c r="I266" s="62"/>
      <x:c r="J266" s="66"/>
      <x:c r="K266" s="62" t="str"/>
      <x:c r="L266" s="62" t="str"/>
    </x:row>
    <x:row r="267" ht="40" customHeight="1">
      <x:c r="A267" s="62" t="str">
        <x:v>ABAP-263</x:v>
      </x:c>
      <x:c r="B267" s="62" t="str">
        <x:v>16 | IDoc, ALE &amp; EDI</x:v>
      </x:c>
      <x:c r="C267" s="62" t="str">
        <x:v>IDoc, ALE &amp; EDI</x:v>
      </x:c>
      <x:c r="D267" s="62" t="str">
        <x:v>ALE filters and distribution model behavior</x:v>
      </x:c>
      <x:c r="E267" s="62" t="str">
        <x:v>For “ALE filters and distribution model behavior”: explain its purpose and key rules, demonstrate a small example or trace, handle one common edge case/failure, and name a relevant best practice or trade-off.</x:v>
      </x:c>
      <x:c r="F267" s="62" t="str">
        <x:v>Intermediate</x:v>
      </x:c>
      <x:c r="G267" s="62" t="str">
        <x:v>P2</x:v>
      </x:c>
      <x:c r="H267" s="62" t="str">
        <x:v>Not Started</x:v>
      </x:c>
      <x:c r="I267" s="62"/>
      <x:c r="J267" s="66"/>
      <x:c r="K267" s="62" t="str"/>
      <x:c r="L267" s="62" t="str">
        <x:v>RAP tutorials (Resources)</x:v>
      </x:c>
    </x:row>
    <x:row r="268" ht="40" customHeight="1">
      <x:c r="A268" s="62" t="str">
        <x:v>ABAP-264</x:v>
      </x:c>
      <x:c r="B268" s="62" t="str">
        <x:v>16 | IDoc, ALE &amp; EDI</x:v>
      </x:c>
      <x:c r="C268" s="62" t="str">
        <x:v>IDoc, ALE &amp; EDI</x:v>
      </x:c>
      <x:c r="D268" s="62" t="str">
        <x:v>EDI partner mapping and functional acknowledgment awareness</x:v>
      </x:c>
      <x:c r="E268" s="62" t="str">
        <x:v>For “EDI partner mapping and functional acknowledgment awareness”: explain its purpose and key rules, demonstrate a small example or trace, handle one common edge case/failure, and name a relevant best practice or trade-off.</x:v>
      </x:c>
      <x:c r="F268" s="62" t="str">
        <x:v>Intermediate</x:v>
      </x:c>
      <x:c r="G268" s="62" t="str">
        <x:v>P2</x:v>
      </x:c>
      <x:c r="H268" s="62" t="str">
        <x:v>Not Started</x:v>
      </x:c>
      <x:c r="I268" s="62"/>
      <x:c r="J268" s="66"/>
      <x:c r="K268" s="62" t="str"/>
      <x:c r="L268" s="62" t="str"/>
    </x:row>
    <x:row r="269" ht="40" customHeight="1">
      <x:c r="A269" s="62" t="str">
        <x:v>ABAP-265</x:v>
      </x:c>
      <x:c r="B269" s="62" t="str">
        <x:v>17 | Forms, Spool &amp; Output Management</x:v>
      </x:c>
      <x:c r="C269" s="62" t="str">
        <x:v>Forms, Spool &amp; Output Management</x:v>
      </x:c>
      <x:c r="D269" s="62" t="str">
        <x:v>SAPscript: layout, windows and text elements</x:v>
      </x:c>
      <x:c r="E269" s="62" t="str">
        <x:v>For “SAPscript: layout, windows and text elements”: explain its purpose and key rules, demonstrate a small example or trace, handle one common edge case/failure, and name a relevant best practice or trade-off.</x:v>
      </x:c>
      <x:c r="F269" s="62" t="str">
        <x:v>Specialized</x:v>
      </x:c>
      <x:c r="G269" s="62" t="str">
        <x:v>P3</x:v>
      </x:c>
      <x:c r="H269" s="62" t="str">
        <x:v>Not Started</x:v>
      </x:c>
      <x:c r="I269" s="62"/>
      <x:c r="J269" s="66"/>
      <x:c r="K269" s="62" t="str"/>
      <x:c r="L269" s="62" t="str"/>
    </x:row>
    <x:row r="270" ht="40" customHeight="1">
      <x:c r="A270" s="62" t="str">
        <x:v>ABAP-266</x:v>
      </x:c>
      <x:c r="B270" s="62" t="str">
        <x:v>17 | Forms, Spool &amp; Output Management</x:v>
      </x:c>
      <x:c r="C270" s="62" t="str">
        <x:v>Forms, Spool &amp; Output Management</x:v>
      </x:c>
      <x:c r="D270" s="62" t="str">
        <x:v>Smart Forms: interface, nodes and generated function module</x:v>
      </x:c>
      <x:c r="E270" s="62" t="str">
        <x:v>For “Smart Forms: interface, nodes and generated function module”: explain its purpose and key rules, demonstrate a small example or trace, handle one common edge case/failure, and name a relevant best practice or trade-off.</x:v>
      </x:c>
      <x:c r="F270" s="62" t="str">
        <x:v>Intermediate</x:v>
      </x:c>
      <x:c r="G270" s="62" t="str">
        <x:v>P2</x:v>
      </x:c>
      <x:c r="H270" s="62" t="str">
        <x:v>Not Started</x:v>
      </x:c>
      <x:c r="I270" s="62"/>
      <x:c r="J270" s="66"/>
      <x:c r="K270" s="62" t="str"/>
      <x:c r="L270" s="62" t="str"/>
    </x:row>
    <x:row r="271" ht="40" customHeight="1">
      <x:c r="A271" s="62" t="str">
        <x:v>ABAP-267</x:v>
      </x:c>
      <x:c r="B271" s="62" t="str">
        <x:v>17 | Forms, Spool &amp; Output Management</x:v>
      </x:c>
      <x:c r="C271" s="62" t="str">
        <x:v>Forms, Spool &amp; Output Management</x:v>
      </x:c>
      <x:c r="D271" s="62" t="str">
        <x:v>Adobe Forms: interface, context, layout and generated FM</x:v>
      </x:c>
      <x:c r="E271" s="62" t="str">
        <x:v>For “Adobe Forms: interface, context, layout and generated FM”: explain its purpose and key rules, demonstrate a small example or trace, handle one common edge case/failure, and name a relevant best practice or trade-off.</x:v>
      </x:c>
      <x:c r="F271" s="62" t="str">
        <x:v>Intermediate</x:v>
      </x:c>
      <x:c r="G271" s="62" t="str">
        <x:v>P1</x:v>
      </x:c>
      <x:c r="H271" s="62" t="str">
        <x:v>Not Started</x:v>
      </x:c>
      <x:c r="I271" s="62"/>
      <x:c r="J271" s="66"/>
      <x:c r="K271" s="62" t="str"/>
      <x:c r="L271" s="62" t="str"/>
    </x:row>
    <x:row r="272" ht="40" customHeight="1">
      <x:c r="A272" s="62" t="str">
        <x:v>ABAP-268</x:v>
      </x:c>
      <x:c r="B272" s="62" t="str">
        <x:v>17 | Forms, Spool &amp; Output Management</x:v>
      </x:c>
      <x:c r="C272" s="62" t="str">
        <x:v>Forms, Spool &amp; Output Management</x:v>
      </x:c>
      <x:c r="D272" s="62" t="str">
        <x:v>SFP transactions and form activation</x:v>
      </x:c>
      <x:c r="E272" s="62" t="str">
        <x:v>For “SFP transactions and form activation”: explain its purpose and key rules, demonstrate a small example or trace, handle one common edge case/failure, and name a relevant best practice or trade-off.</x:v>
      </x:c>
      <x:c r="F272" s="62" t="str">
        <x:v>Intermediate</x:v>
      </x:c>
      <x:c r="G272" s="62" t="str">
        <x:v>P1</x:v>
      </x:c>
      <x:c r="H272" s="62" t="str">
        <x:v>Not Started</x:v>
      </x:c>
      <x:c r="I272" s="62"/>
      <x:c r="J272" s="66"/>
      <x:c r="K272" s="62" t="str"/>
      <x:c r="L272" s="62" t="str"/>
    </x:row>
    <x:row r="273" ht="40" customHeight="1">
      <x:c r="A273" s="62" t="str">
        <x:v>ABAP-269</x:v>
      </x:c>
      <x:c r="B273" s="62" t="str">
        <x:v>17 | Forms, Spool &amp; Output Management</x:v>
      </x:c>
      <x:c r="C273" s="62" t="str">
        <x:v>Forms, Spool &amp; Output Management</x:v>
      </x:c>
      <x:c r="D273" s="62" t="str">
        <x:v>FP_JOB_OPEN / FP_FUNCTION_MODULE_NAME / FP_JOB_CLOSE</x:v>
      </x:c>
      <x:c r="E273" s="62" t="str">
        <x:v>For “FP_JOB_OPEN / FP_FUNCTION_MODULE_NAME / FP_JOB_CLOSE”: explain its purpose and key rules, demonstrate a small example or trace, handle one common edge case/failure, and name a relevant best practice or trade-off.</x:v>
      </x:c>
      <x:c r="F273" s="62" t="str">
        <x:v>Intermediate</x:v>
      </x:c>
      <x:c r="G273" s="62" t="str">
        <x:v>P2</x:v>
      </x:c>
      <x:c r="H273" s="62" t="str">
        <x:v>Not Started</x:v>
      </x:c>
      <x:c r="I273" s="62"/>
      <x:c r="J273" s="66"/>
      <x:c r="K273" s="62" t="str"/>
      <x:c r="L273" s="62" t="str"/>
    </x:row>
    <x:row r="274" ht="40" customHeight="1">
      <x:c r="A274" s="62" t="str">
        <x:v>ABAP-270</x:v>
      </x:c>
      <x:c r="B274" s="62" t="str">
        <x:v>17 | Forms, Spool &amp; Output Management</x:v>
      </x:c>
      <x:c r="C274" s="62" t="str">
        <x:v>Forms, Spool &amp; Output Management</x:v>
      </x:c>
      <x:c r="D274" s="62" t="str">
        <x:v>FPFORMOUTPUT and FPCOMP_XFP_OUTPUT concepts</x:v>
      </x:c>
      <x:c r="E274" s="62" t="str">
        <x:v>For “FPFORMOUTPUT and FPCOMP_XFP_OUTPUT concepts”: explain its purpose and key rules, demonstrate a small example or trace, handle one common edge case/failure, and name a relevant best practice or trade-off.</x:v>
      </x:c>
      <x:c r="F274" s="62" t="str">
        <x:v>Intermediate</x:v>
      </x:c>
      <x:c r="G274" s="62" t="str">
        <x:v>P2</x:v>
      </x:c>
      <x:c r="H274" s="62" t="str">
        <x:v>Not Started</x:v>
      </x:c>
      <x:c r="I274" s="62"/>
      <x:c r="J274" s="66"/>
      <x:c r="K274" s="62" t="str"/>
      <x:c r="L274" s="62" t="str"/>
    </x:row>
    <x:row r="275" ht="40" customHeight="1">
      <x:c r="A275" s="62" t="str">
        <x:v>ABAP-271</x:v>
      </x:c>
      <x:c r="B275" s="62" t="str">
        <x:v>17 | Forms, Spool &amp; Output Management</x:v>
      </x:c>
      <x:c r="C275" s="62" t="str">
        <x:v>Forms, Spool &amp; Output Management</x:v>
      </x:c>
      <x:c r="D275" s="62" t="str">
        <x:v>Form data interfaces and context binding</x:v>
      </x:c>
      <x:c r="E275" s="62" t="str">
        <x:v>For “Form data interfaces and context binding”: explain its purpose and key rules, demonstrate a small example or trace, handle one common edge case/failure, and name a relevant best practice or trade-off.</x:v>
      </x:c>
      <x:c r="F275" s="62" t="str">
        <x:v>Intermediate</x:v>
      </x:c>
      <x:c r="G275" s="62" t="str">
        <x:v>P1</x:v>
      </x:c>
      <x:c r="H275" s="62" t="str">
        <x:v>Not Started</x:v>
      </x:c>
      <x:c r="I275" s="62"/>
      <x:c r="J275" s="66"/>
      <x:c r="K275" s="62" t="str"/>
      <x:c r="L275" s="62" t="str"/>
    </x:row>
    <x:row r="276" ht="40" customHeight="1">
      <x:c r="A276" s="62" t="str">
        <x:v>ABAP-272</x:v>
      </x:c>
      <x:c r="B276" s="62" t="str">
        <x:v>17 | Forms, Spool &amp; Output Management</x:v>
      </x:c>
      <x:c r="C276" s="62" t="str">
        <x:v>Forms, Spool &amp; Output Management</x:v>
      </x:c>
      <x:c r="D276" s="62" t="str">
        <x:v>Spool requests, SP01 and print parameters</x:v>
      </x:c>
      <x:c r="E276" s="62" t="str">
        <x:v>For “Spool requests, SP01 and print parameters”: explain its purpose and key rules, demonstrate a small example or trace, handle one common edge case/failure, and name a relevant best practice or trade-off.</x:v>
      </x:c>
      <x:c r="F276" s="62" t="str">
        <x:v>Intermediate</x:v>
      </x:c>
      <x:c r="G276" s="62" t="str">
        <x:v>P1</x:v>
      </x:c>
      <x:c r="H276" s="62" t="str">
        <x:v>Not Started</x:v>
      </x:c>
      <x:c r="I276" s="62"/>
      <x:c r="J276" s="66"/>
      <x:c r="K276" s="62" t="str"/>
      <x:c r="L276" s="62" t="str"/>
    </x:row>
    <x:row r="277" ht="40" customHeight="1">
      <x:c r="A277" s="62" t="str">
        <x:v>ABAP-273</x:v>
      </x:c>
      <x:c r="B277" s="62" t="str">
        <x:v>17 | Forms, Spool &amp; Output Management</x:v>
      </x:c>
      <x:c r="C277" s="62" t="str">
        <x:v>Forms, Spool &amp; Output Management</x:v>
      </x:c>
      <x:c r="D277" s="62" t="str">
        <x:v>Classic output determination: NAST and processing routines</x:v>
      </x:c>
      <x:c r="E277" s="62" t="str">
        <x:v>For “Classic output determination: NAST and processing routines”: explain its purpose and key rules, demonstrate a small example or trace, handle one common edge case/failure, and name a relevant best practice or trade-off.</x:v>
      </x:c>
      <x:c r="F277" s="62" t="str">
        <x:v>Intermediate</x:v>
      </x:c>
      <x:c r="G277" s="62" t="str">
        <x:v>P2</x:v>
      </x:c>
      <x:c r="H277" s="62" t="str">
        <x:v>Not Started</x:v>
      </x:c>
      <x:c r="I277" s="62"/>
      <x:c r="J277" s="66"/>
      <x:c r="K277" s="62" t="str"/>
      <x:c r="L277" s="62" t="str"/>
    </x:row>
    <x:row r="278" ht="40" customHeight="1">
      <x:c r="A278" s="62" t="str">
        <x:v>ABAP-274</x:v>
      </x:c>
      <x:c r="B278" s="62" t="str">
        <x:v>17 | Forms, Spool &amp; Output Management</x:v>
      </x:c>
      <x:c r="C278" s="62" t="str">
        <x:v>Forms, Spool &amp; Output Management</x:v>
      </x:c>
      <x:c r="D278" s="62" t="str">
        <x:v>S/4HANA Output Management / BRF+ awareness</x:v>
      </x:c>
      <x:c r="E278" s="62" t="str">
        <x:v>For “S/4HANA Output Management / BRF+ awareness”: explain its purpose and key rules, demonstrate a small example or trace, handle one common edge case/failure, and name a relevant best practice or trade-off.</x:v>
      </x:c>
      <x:c r="F278" s="62" t="str">
        <x:v>Intermediate</x:v>
      </x:c>
      <x:c r="G278" s="62" t="str">
        <x:v>P2</x:v>
      </x:c>
      <x:c r="H278" s="62" t="str">
        <x:v>Not Started</x:v>
      </x:c>
      <x:c r="I278" s="62"/>
      <x:c r="J278" s="66"/>
      <x:c r="K278" s="62" t="str"/>
      <x:c r="L278" s="62" t="str"/>
    </x:row>
    <x:row r="279" ht="40" customHeight="1">
      <x:c r="A279" s="62" t="str">
        <x:v>ABAP-275</x:v>
      </x:c>
      <x:c r="B279" s="62" t="str">
        <x:v>18 | CDS Data Modeling</x:v>
      </x:c>
      <x:c r="C279" s="62" t="str">
        <x:v>CDS Data Modeling</x:v>
      </x:c>
      <x:c r="D279" s="62" t="str">
        <x:v>CDS purpose and the shift from classic views to view entities</x:v>
      </x:c>
      <x:c r="E279" s="62" t="str">
        <x:v>For “CDS purpose and the shift from classic views to view entities”: explain its purpose and key rules, demonstrate a small example or trace, handle one common edge case/failure, and name a relevant best practice or trade-off.</x:v>
      </x:c>
      <x:c r="F279" s="62" t="str">
        <x:v>Modern</x:v>
      </x:c>
      <x:c r="G279" s="62" t="str">
        <x:v>P1</x:v>
      </x:c>
      <x:c r="H279" s="62" t="str">
        <x:v>Not Started</x:v>
      </x:c>
      <x:c r="I279" s="62"/>
      <x:c r="J279" s="66"/>
      <x:c r="K279" s="62" t="str"/>
      <x:c r="L279" s="62" t="str">
        <x:v>CDS documentation (Resources)</x:v>
      </x:c>
    </x:row>
    <x:row r="280" ht="40" customHeight="1">
      <x:c r="A280" s="62" t="str">
        <x:v>ABAP-276</x:v>
      </x:c>
      <x:c r="B280" s="62" t="str">
        <x:v>18 | CDS Data Modeling</x:v>
      </x:c>
      <x:c r="C280" s="62" t="str">
        <x:v>CDS Data Modeling</x:v>
      </x:c>
      <x:c r="D280" s="62" t="str">
        <x:v>DDL source and DEFINE VIEW ENTITY</x:v>
      </x:c>
      <x:c r="E280" s="62" t="str">
        <x:v>For “DDL source and DEFINE VIEW ENTITY”: explain its purpose and key rules, demonstrate a small example or trace, handle one common edge case/failure, and name a relevant best practice or trade-off.</x:v>
      </x:c>
      <x:c r="F280" s="62" t="str">
        <x:v>Modern</x:v>
      </x:c>
      <x:c r="G280" s="62" t="str">
        <x:v>P1</x:v>
      </x:c>
      <x:c r="H280" s="62" t="str">
        <x:v>Not Started</x:v>
      </x:c>
      <x:c r="I280" s="62"/>
      <x:c r="J280" s="66"/>
      <x:c r="K280" s="62" t="str"/>
      <x:c r="L280" s="62" t="str">
        <x:v>CDS documentation (Resources)</x:v>
      </x:c>
    </x:row>
    <x:row r="281" ht="40" customHeight="1">
      <x:c r="A281" s="62" t="str">
        <x:v>ABAP-277</x:v>
      </x:c>
      <x:c r="B281" s="62" t="str">
        <x:v>18 | CDS Data Modeling</x:v>
      </x:c>
      <x:c r="C281" s="62" t="str">
        <x:v>CDS Data Modeling</x:v>
      </x:c>
      <x:c r="D281" s="62" t="str">
        <x:v>Projection lists, aliases and calculated fields</x:v>
      </x:c>
      <x:c r="E281" s="62" t="str">
        <x:v>For “Projection lists, aliases and calculated fields”: explain its purpose and key rules, demonstrate a small example or trace, handle one common edge case/failure, and name a relevant best practice or trade-off.</x:v>
      </x:c>
      <x:c r="F281" s="62" t="str">
        <x:v>Modern</x:v>
      </x:c>
      <x:c r="G281" s="62" t="str">
        <x:v>P1</x:v>
      </x:c>
      <x:c r="H281" s="62" t="str">
        <x:v>Not Started</x:v>
      </x:c>
      <x:c r="I281" s="62"/>
      <x:c r="J281" s="66"/>
      <x:c r="K281" s="62" t="str"/>
      <x:c r="L281" s="62" t="str"/>
    </x:row>
    <x:row r="282" ht="40" customHeight="1">
      <x:c r="A282" s="62" t="str">
        <x:v>ABAP-278</x:v>
      </x:c>
      <x:c r="B282" s="62" t="str">
        <x:v>18 | CDS Data Modeling</x:v>
      </x:c>
      <x:c r="C282" s="62" t="str">
        <x:v>CDS Data Modeling</x:v>
      </x:c>
      <x:c r="D282" s="62" t="str">
        <x:v>CDS joins and union operations</x:v>
      </x:c>
      <x:c r="E282" s="62" t="str">
        <x:v>For “CDS joins and union operations”: explain its purpose and key rules, demonstrate a small example or trace, handle one common edge case/failure, and name a relevant best practice or trade-off.</x:v>
      </x:c>
      <x:c r="F282" s="62" t="str">
        <x:v>Modern</x:v>
      </x:c>
      <x:c r="G282" s="62" t="str">
        <x:v>P1</x:v>
      </x:c>
      <x:c r="H282" s="62" t="str">
        <x:v>Not Started</x:v>
      </x:c>
      <x:c r="I282" s="62"/>
      <x:c r="J282" s="66"/>
      <x:c r="K282" s="62" t="str"/>
      <x:c r="L282" s="62" t="str">
        <x:v>CDS documentation (Resources)</x:v>
      </x:c>
    </x:row>
    <x:row r="283" ht="40" customHeight="1">
      <x:c r="A283" s="62" t="str">
        <x:v>ABAP-279</x:v>
      </x:c>
      <x:c r="B283" s="62" t="str">
        <x:v>18 | CDS Data Modeling</x:v>
      </x:c>
      <x:c r="C283" s="62" t="str">
        <x:v>CDS Data Modeling</x:v>
      </x:c>
      <x:c r="D283" s="62" t="str">
        <x:v>Associations, cardinality and path expressions</x:v>
      </x:c>
      <x:c r="E283" s="62" t="str">
        <x:v>For “Associations, cardinality and path expressions”: explain its purpose and key rules, demonstrate a small example or trace, handle one common edge case/failure, and name a relevant best practice or trade-off.</x:v>
      </x:c>
      <x:c r="F283" s="62" t="str">
        <x:v>Modern</x:v>
      </x:c>
      <x:c r="G283" s="62" t="str">
        <x:v>P1</x:v>
      </x:c>
      <x:c r="H283" s="62" t="str">
        <x:v>Not Started</x:v>
      </x:c>
      <x:c r="I283" s="62"/>
      <x:c r="J283" s="66"/>
      <x:c r="K283" s="62" t="str"/>
      <x:c r="L283" s="62" t="str"/>
    </x:row>
    <x:row r="284" ht="40" customHeight="1">
      <x:c r="A284" s="62" t="str">
        <x:v>ABAP-280</x:v>
      </x:c>
      <x:c r="B284" s="62" t="str">
        <x:v>18 | CDS Data Modeling</x:v>
      </x:c>
      <x:c r="C284" s="62" t="str">
        <x:v>CDS Data Modeling</x:v>
      </x:c>
      <x:c r="D284" s="62" t="str">
        <x:v>Composition relationships and composition roots concepts</x:v>
      </x:c>
      <x:c r="E284" s="62" t="str">
        <x:v>For “Composition relationships and composition roots concepts”: explain its purpose and key rules, demonstrate a small example or trace, handle one common edge case/failure, and name a relevant best practice or trade-off.</x:v>
      </x:c>
      <x:c r="F284" s="62" t="str">
        <x:v>Modern</x:v>
      </x:c>
      <x:c r="G284" s="62" t="str">
        <x:v>P2</x:v>
      </x:c>
      <x:c r="H284" s="62" t="str">
        <x:v>Not Started</x:v>
      </x:c>
      <x:c r="I284" s="62"/>
      <x:c r="J284" s="66"/>
      <x:c r="K284" s="62" t="str"/>
      <x:c r="L284" s="62" t="str"/>
    </x:row>
    <x:row r="285" ht="40" customHeight="1">
      <x:c r="A285" s="62" t="str">
        <x:v>ABAP-281</x:v>
      </x:c>
      <x:c r="B285" s="62" t="str">
        <x:v>18 | CDS Data Modeling</x:v>
      </x:c>
      <x:c r="C285" s="62" t="str">
        <x:v>CDS Data Modeling</x:v>
      </x:c>
      <x:c r="D285" s="62" t="str">
        <x:v>CDS parameters and parameter propagation</x:v>
      </x:c>
      <x:c r="E285" s="62" t="str">
        <x:v>For “CDS parameters and parameter propagation”: explain its purpose and key rules, demonstrate a small example or trace, handle one common edge case/failure, and name a relevant best practice or trade-off.</x:v>
      </x:c>
      <x:c r="F285" s="62" t="str">
        <x:v>Modern</x:v>
      </x:c>
      <x:c r="G285" s="62" t="str">
        <x:v>P2</x:v>
      </x:c>
      <x:c r="H285" s="62" t="str">
        <x:v>Not Started</x:v>
      </x:c>
      <x:c r="I285" s="62"/>
      <x:c r="J285" s="66"/>
      <x:c r="K285" s="62" t="str"/>
      <x:c r="L285" s="62" t="str">
        <x:v>CDS documentation (Resources)</x:v>
      </x:c>
    </x:row>
    <x:row r="286" ht="40" customHeight="1">
      <x:c r="A286" s="62" t="str">
        <x:v>ABAP-282</x:v>
      </x:c>
      <x:c r="B286" s="62" t="str">
        <x:v>18 | CDS Data Modeling</x:v>
      </x:c>
      <x:c r="C286" s="62" t="str">
        <x:v>CDS Data Modeling</x:v>
      </x:c>
      <x:c r="D286" s="62" t="str">
        <x:v>CASE, cast, arithmetic and built-in functions in CDS</x:v>
      </x:c>
      <x:c r="E286" s="62" t="str">
        <x:v>For “CASE, cast, arithmetic and built-in functions in CDS”: explain its purpose and key rules, demonstrate a small example or trace, handle one common edge case/failure, and name a relevant best practice or trade-off.</x:v>
      </x:c>
      <x:c r="F286" s="62" t="str">
        <x:v>Modern</x:v>
      </x:c>
      <x:c r="G286" s="62" t="str">
        <x:v>P1</x:v>
      </x:c>
      <x:c r="H286" s="62" t="str">
        <x:v>Not Started</x:v>
      </x:c>
      <x:c r="I286" s="62"/>
      <x:c r="J286" s="66"/>
      <x:c r="K286" s="62" t="str"/>
      <x:c r="L286" s="62" t="str">
        <x:v>CDS documentation (Resources)</x:v>
      </x:c>
    </x:row>
    <x:row r="287" ht="40" customHeight="1">
      <x:c r="A287" s="62" t="str">
        <x:v>ABAP-283</x:v>
      </x:c>
      <x:c r="B287" s="62" t="str">
        <x:v>18 | CDS Data Modeling</x:v>
      </x:c>
      <x:c r="C287" s="62" t="str">
        <x:v>CDS Data Modeling</x:v>
      </x:c>
      <x:c r="D287" s="62" t="str">
        <x:v>Annotations: EndUserText, Semantics and AbapCatalog</x:v>
      </x:c>
      <x:c r="E287" s="62" t="str">
        <x:v>For “Annotations: EndUserText, Semantics and AbapCatalog”: explain its purpose and key rules, demonstrate a small example or trace, handle one common edge case/failure, and name a relevant best practice or trade-off.</x:v>
      </x:c>
      <x:c r="F287" s="62" t="str">
        <x:v>Modern</x:v>
      </x:c>
      <x:c r="G287" s="62" t="str">
        <x:v>P1</x:v>
      </x:c>
      <x:c r="H287" s="62" t="str">
        <x:v>Not Started</x:v>
      </x:c>
      <x:c r="I287" s="62"/>
      <x:c r="J287" s="66"/>
      <x:c r="K287" s="62" t="str"/>
      <x:c r="L287" s="62" t="str">
        <x:v>CDS documentation (Resources)</x:v>
      </x:c>
    </x:row>
    <x:row r="288" ht="40" customHeight="1">
      <x:c r="A288" s="62" t="str">
        <x:v>ABAP-284</x:v>
      </x:c>
      <x:c r="B288" s="62" t="str">
        <x:v>18 | CDS Data Modeling</x:v>
      </x:c>
      <x:c r="C288" s="62" t="str">
        <x:v>CDS Data Modeling</x:v>
      </x:c>
      <x:c r="D288" s="62" t="str">
        <x:v>Currency/unit semantics and amount/quantity annotations</x:v>
      </x:c>
      <x:c r="E288" s="62" t="str">
        <x:v>For “Currency/unit semantics and amount/quantity annotations”: explain its purpose and key rules, demonstrate a small example or trace, handle one common edge case/failure, and name a relevant best practice or trade-off.</x:v>
      </x:c>
      <x:c r="F288" s="62" t="str">
        <x:v>Modern</x:v>
      </x:c>
      <x:c r="G288" s="62" t="str">
        <x:v>P1</x:v>
      </x:c>
      <x:c r="H288" s="62" t="str">
        <x:v>Not Started</x:v>
      </x:c>
      <x:c r="I288" s="62"/>
      <x:c r="J288" s="66"/>
      <x:c r="K288" s="62" t="str"/>
      <x:c r="L288" s="62" t="str">
        <x:v>CDS documentation (Resources)</x:v>
      </x:c>
    </x:row>
    <x:row r="289" ht="40" customHeight="1">
      <x:c r="A289" s="62" t="str">
        <x:v>ABAP-285</x:v>
      </x:c>
      <x:c r="B289" s="62" t="str">
        <x:v>18 | CDS Data Modeling</x:v>
      </x:c>
      <x:c r="C289" s="62" t="str">
        <x:v>CDS Data Modeling</x:v>
      </x:c>
      <x:c r="D289" s="62" t="str">
        <x:v>Metadata extensions (DDLX)</x:v>
      </x:c>
      <x:c r="E289" s="62" t="str">
        <x:v>For “Metadata extensions (DDLX)”: explain its purpose and key rules, demonstrate a small example or trace, handle one common edge case/failure, and name a relevant best practice or trade-off.</x:v>
      </x:c>
      <x:c r="F289" s="62" t="str">
        <x:v>Modern</x:v>
      </x:c>
      <x:c r="G289" s="62" t="str">
        <x:v>P2</x:v>
      </x:c>
      <x:c r="H289" s="62" t="str">
        <x:v>Not Started</x:v>
      </x:c>
      <x:c r="I289" s="62"/>
      <x:c r="J289" s="66"/>
      <x:c r="K289" s="62" t="str"/>
      <x:c r="L289" s="62" t="str"/>
    </x:row>
    <x:row r="290" ht="40" customHeight="1">
      <x:c r="A290" s="62" t="str">
        <x:v>ABAP-286</x:v>
      </x:c>
      <x:c r="B290" s="62" t="str">
        <x:v>18 | CDS Data Modeling</x:v>
      </x:c>
      <x:c r="C290" s="62" t="str">
        <x:v>CDS Data Modeling</x:v>
      </x:c>
      <x:c r="D290" s="62" t="str">
        <x:v>CDS view extensions (EXTEND VIEW ENTITY)</x:v>
      </x:c>
      <x:c r="E290" s="62" t="str">
        <x:v>For “CDS view extensions (EXTEND VIEW ENTITY)”: explain its purpose and key rules, demonstrate a small example or trace, handle one common edge case/failure, and name a relevant best practice or trade-off.</x:v>
      </x:c>
      <x:c r="F290" s="62" t="str">
        <x:v>Modern</x:v>
      </x:c>
      <x:c r="G290" s="62" t="str">
        <x:v>P2</x:v>
      </x:c>
      <x:c r="H290" s="62" t="str">
        <x:v>Not Started</x:v>
      </x:c>
      <x:c r="I290" s="62"/>
      <x:c r="J290" s="66"/>
      <x:c r="K290" s="62" t="str"/>
      <x:c r="L290" s="62" t="str">
        <x:v>CDS documentation (Resources)</x:v>
      </x:c>
    </x:row>
    <x:row r="291" ht="40" customHeight="1">
      <x:c r="A291" s="62" t="str">
        <x:v>ABAP-287</x:v>
      </x:c>
      <x:c r="B291" s="62" t="str">
        <x:v>18 | CDS Data Modeling</x:v>
      </x:c>
      <x:c r="C291" s="62" t="str">
        <x:v>CDS Data Modeling</x:v>
      </x:c>
      <x:c r="D291" s="62" t="str">
        <x:v>CDS access control (DCL) and DEFINE ROLE</x:v>
      </x:c>
      <x:c r="E291" s="62" t="str">
        <x:v>For “CDS access control (DCL) and DEFINE ROLE”: explain its purpose and key rules, demonstrate a small example or trace, handle one common edge case/failure, and name a relevant best practice or trade-off.</x:v>
      </x:c>
      <x:c r="F291" s="62" t="str">
        <x:v>Modern</x:v>
      </x:c>
      <x:c r="G291" s="62" t="str">
        <x:v>P1</x:v>
      </x:c>
      <x:c r="H291" s="62" t="str">
        <x:v>Not Started</x:v>
      </x:c>
      <x:c r="I291" s="62"/>
      <x:c r="J291" s="66"/>
      <x:c r="K291" s="62" t="str"/>
      <x:c r="L291" s="62" t="str">
        <x:v>CDS documentation (Resources)</x:v>
      </x:c>
    </x:row>
    <x:row r="292" ht="40" customHeight="1">
      <x:c r="A292" s="62" t="str">
        <x:v>ABAP-288</x:v>
      </x:c>
      <x:c r="B292" s="62" t="str">
        <x:v>18 | CDS Data Modeling</x:v>
      </x:c>
      <x:c r="C292" s="62" t="str">
        <x:v>CDS Data Modeling</x:v>
      </x:c>
      <x:c r="D292" s="62" t="str">
        <x:v>Authorization behavior across layered views</x:v>
      </x:c>
      <x:c r="E292" s="62" t="str">
        <x:v>For “Authorization behavior across layered views”: explain its purpose and key rules, demonstrate a small example or trace, handle one common edge case/failure, and name a relevant best practice or trade-off.</x:v>
      </x:c>
      <x:c r="F292" s="62" t="str">
        <x:v>Modern</x:v>
      </x:c>
      <x:c r="G292" s="62" t="str">
        <x:v>P1</x:v>
      </x:c>
      <x:c r="H292" s="62" t="str">
        <x:v>Not Started</x:v>
      </x:c>
      <x:c r="I292" s="62"/>
      <x:c r="J292" s="66"/>
      <x:c r="K292" s="62" t="str"/>
      <x:c r="L292" s="62" t="str">
        <x:v>RAP tutorials (Resources)</x:v>
      </x:c>
    </x:row>
    <x:row r="293" ht="40" customHeight="1">
      <x:c r="A293" s="62" t="str">
        <x:v>ABAP-289</x:v>
      </x:c>
      <x:c r="B293" s="62" t="str">
        <x:v>18 | CDS Data Modeling</x:v>
      </x:c>
      <x:c r="C293" s="62" t="str">
        <x:v>CDS Data Modeling</x:v>
      </x:c>
      <x:c r="D293" s="62" t="str">
        <x:v>Analytical annotations and query view concepts</x:v>
      </x:c>
      <x:c r="E293" s="62" t="str">
        <x:v>For “Analytical annotations and query view concepts”: explain its purpose and key rules, demonstrate a small example or trace, handle one common edge case/failure, and name a relevant best practice or trade-off.</x:v>
      </x:c>
      <x:c r="F293" s="62" t="str">
        <x:v>Modern</x:v>
      </x:c>
      <x:c r="G293" s="62" t="str">
        <x:v>P2</x:v>
      </x:c>
      <x:c r="H293" s="62" t="str">
        <x:v>Not Started</x:v>
      </x:c>
      <x:c r="I293" s="62"/>
      <x:c r="J293" s="66"/>
      <x:c r="K293" s="62" t="str"/>
      <x:c r="L293" s="62" t="str">
        <x:v>CDS documentation (Resources)</x:v>
      </x:c>
    </x:row>
    <x:row r="294" ht="40" customHeight="1">
      <x:c r="A294" s="62" t="str">
        <x:v>ABAP-290</x:v>
      </x:c>
      <x:c r="B294" s="62" t="str">
        <x:v>18 | CDS Data Modeling</x:v>
      </x:c>
      <x:c r="C294" s="62" t="str">
        <x:v>CDS Data Modeling</x:v>
      </x:c>
      <x:c r="D294" s="62" t="str">
        <x:v>Virtual elements and SADL exit concepts</x:v>
      </x:c>
      <x:c r="E294" s="62" t="str">
        <x:v>For “Virtual elements and SADL exit concepts”: explain its purpose and key rules, demonstrate a small example or trace, handle one common edge case/failure, and name a relevant best practice or trade-off.</x:v>
      </x:c>
      <x:c r="F294" s="62" t="str">
        <x:v>Modern</x:v>
      </x:c>
      <x:c r="G294" s="62" t="str">
        <x:v>P2</x:v>
      </x:c>
      <x:c r="H294" s="62" t="str">
        <x:v>Not Started</x:v>
      </x:c>
      <x:c r="I294" s="62"/>
      <x:c r="J294" s="66"/>
      <x:c r="K294" s="62" t="str"/>
      <x:c r="L294" s="62" t="str"/>
    </x:row>
    <x:row r="295" ht="40" customHeight="1">
      <x:c r="A295" s="62" t="str">
        <x:v>ABAP-291</x:v>
      </x:c>
      <x:c r="B295" s="62" t="str">
        <x:v>18 | CDS Data Modeling</x:v>
      </x:c>
      <x:c r="C295" s="62" t="str">
        <x:v>CDS Data Modeling</x:v>
      </x:c>
      <x:c r="D295" s="62" t="str">
        <x:v>CDS table functions and AMDP implementation overview</x:v>
      </x:c>
      <x:c r="E295" s="62" t="str">
        <x:v>For “CDS table functions and AMDP implementation overview”: explain its purpose and key rules, demonstrate a small example or trace, handle one common edge case/failure, and name a relevant best practice or trade-off.</x:v>
      </x:c>
      <x:c r="F295" s="62" t="str">
        <x:v>Modern</x:v>
      </x:c>
      <x:c r="G295" s="62" t="str">
        <x:v>P2</x:v>
      </x:c>
      <x:c r="H295" s="62" t="str">
        <x:v>Not Started</x:v>
      </x:c>
      <x:c r="I295" s="62"/>
      <x:c r="J295" s="66"/>
      <x:c r="K295" s="62" t="str"/>
      <x:c r="L295" s="62" t="str">
        <x:v>CDS documentation (Resources)</x:v>
      </x:c>
    </x:row>
    <x:row r="296" ht="40" customHeight="1">
      <x:c r="A296" s="62" t="str">
        <x:v>ABAP-292</x:v>
      </x:c>
      <x:c r="B296" s="62" t="str">
        <x:v>18 | CDS Data Modeling</x:v>
      </x:c>
      <x:c r="C296" s="62" t="str">
        <x:v>CDS Data Modeling</x:v>
      </x:c>
      <x:c r="D296" s="62" t="str">
        <x:v>CDS view entity performance and dependency analyzer</x:v>
      </x:c>
      <x:c r="E296" s="62" t="str">
        <x:v>For “CDS view entity performance and dependency analyzer”: explain its purpose and key rules, demonstrate a small example or trace, handle one common edge case/failure, and name a relevant best practice or trade-off.</x:v>
      </x:c>
      <x:c r="F296" s="62" t="str">
        <x:v>Modern</x:v>
      </x:c>
      <x:c r="G296" s="62" t="str">
        <x:v>P1</x:v>
      </x:c>
      <x:c r="H296" s="62" t="str">
        <x:v>Not Started</x:v>
      </x:c>
      <x:c r="I296" s="62"/>
      <x:c r="J296" s="66"/>
      <x:c r="K296" s="62" t="str"/>
      <x:c r="L296" s="62" t="str">
        <x:v>CDS documentation (Resources)</x:v>
      </x:c>
    </x:row>
    <x:row r="297" ht="40" customHeight="1">
      <x:c r="A297" s="62" t="str">
        <x:v>ABAP-293</x:v>
      </x:c>
      <x:c r="B297" s="62" t="str">
        <x:v>18 | CDS Data Modeling</x:v>
      </x:c>
      <x:c r="C297" s="62" t="str">
        <x:v>CDS Data Modeling</x:v>
      </x:c>
      <x:c r="D297" s="62" t="str">
        <x:v>Released SAP CDS views and API-state awareness</x:v>
      </x:c>
      <x:c r="E297" s="62" t="str">
        <x:v>For “Released SAP CDS views and API-state awareness”: explain its purpose and key rules, demonstrate a small example or trace, handle one common edge case/failure, and name a relevant best practice or trade-off.</x:v>
      </x:c>
      <x:c r="F297" s="62" t="str">
        <x:v>Modern</x:v>
      </x:c>
      <x:c r="G297" s="62" t="str">
        <x:v>P1</x:v>
      </x:c>
      <x:c r="H297" s="62" t="str">
        <x:v>Not Started</x:v>
      </x:c>
      <x:c r="I297" s="62"/>
      <x:c r="J297" s="66"/>
      <x:c r="K297" s="62" t="str"/>
      <x:c r="L297" s="62" t="str">
        <x:v>CDS documentation (Resources)</x:v>
      </x:c>
    </x:row>
    <x:row r="298" ht="40" customHeight="1">
      <x:c r="A298" s="62" t="str">
        <x:v>ABAP-294</x:v>
      </x:c>
      <x:c r="B298" s="62" t="str">
        <x:v>18 | CDS Data Modeling</x:v>
      </x:c>
      <x:c r="C298" s="62" t="str">
        <x:v>CDS Data Modeling</x:v>
      </x:c>
      <x:c r="D298" s="62" t="str">
        <x:v>Transactional vs analytical CDS modeling trade-offs</x:v>
      </x:c>
      <x:c r="E298" s="62" t="str">
        <x:v>For “Transactional vs analytical CDS modeling trade-offs”: explain its purpose and key rules, demonstrate a small example or trace, handle one common edge case/failure, and name a relevant best practice or trade-off.</x:v>
      </x:c>
      <x:c r="F298" s="62" t="str">
        <x:v>Modern</x:v>
      </x:c>
      <x:c r="G298" s="62" t="str">
        <x:v>P2</x:v>
      </x:c>
      <x:c r="H298" s="62" t="str">
        <x:v>Not Started</x:v>
      </x:c>
      <x:c r="I298" s="62"/>
      <x:c r="J298" s="66"/>
      <x:c r="K298" s="62" t="str"/>
      <x:c r="L298" s="62" t="str">
        <x:v>CDS documentation (Resources)</x:v>
      </x:c>
    </x:row>
    <x:row r="299" ht="40" customHeight="1">
      <x:c r="A299" s="62" t="str">
        <x:v>ABAP-295</x:v>
      </x:c>
      <x:c r="B299" s="62" t="str">
        <x:v>18 | CDS Data Modeling</x:v>
      </x:c>
      <x:c r="C299" s="62" t="str">
        <x:v>CDS Data Modeling</x:v>
      </x:c>
      <x:c r="D299" s="62" t="str">
        <x:v>CDS testing and data preview in ADT</x:v>
      </x:c>
      <x:c r="E299" s="62" t="str">
        <x:v>For “CDS testing and data preview in ADT”: explain its purpose and key rules, demonstrate a small example or trace, handle one common edge case/failure, and name a relevant best practice or trade-off.</x:v>
      </x:c>
      <x:c r="F299" s="62" t="str">
        <x:v>Modern</x:v>
      </x:c>
      <x:c r="G299" s="62" t="str">
        <x:v>P1</x:v>
      </x:c>
      <x:c r="H299" s="62" t="str">
        <x:v>Not Started</x:v>
      </x:c>
      <x:c r="I299" s="62"/>
      <x:c r="J299" s="66"/>
      <x:c r="K299" s="62" t="str"/>
      <x:c r="L299" s="62" t="str">
        <x:v>CDS documentation (Resources)</x:v>
      </x:c>
    </x:row>
    <x:row r="300" ht="40" customHeight="1">
      <x:c r="A300" s="62" t="str">
        <x:v>ABAP-296</x:v>
      </x:c>
      <x:c r="B300" s="62" t="str">
        <x:v>18 | CDS Data Modeling</x:v>
      </x:c>
      <x:c r="C300" s="62" t="str">
        <x:v>CDS Data Modeling</x:v>
      </x:c>
      <x:c r="D300" s="62" t="str">
        <x:v>Classic DDIC-based CDS view vs view entity differences</x:v>
      </x:c>
      <x:c r="E300" s="62" t="str">
        <x:v>For “Classic DDIC-based CDS view vs view entity differences”: explain its purpose and key rules, demonstrate a small example or trace, handle one common edge case/failure, and name a relevant best practice or trade-off.</x:v>
      </x:c>
      <x:c r="F300" s="62" t="str">
        <x:v>Modern</x:v>
      </x:c>
      <x:c r="G300" s="62" t="str">
        <x:v>P2</x:v>
      </x:c>
      <x:c r="H300" s="62" t="str">
        <x:v>Not Started</x:v>
      </x:c>
      <x:c r="I300" s="62"/>
      <x:c r="J300" s="66"/>
      <x:c r="K300" s="62" t="str"/>
      <x:c r="L300" s="62" t="str">
        <x:v>CDS documentation (Resources)</x:v>
      </x:c>
    </x:row>
    <x:row r="301" ht="40" customHeight="1">
      <x:c r="A301" s="62" t="str">
        <x:v>ABAP-297</x:v>
      </x:c>
      <x:c r="B301" s="62" t="str">
        <x:v>19 | SAP HANA, AMDP &amp; Advanced SQL</x:v>
      </x:c>
      <x:c r="C301" s="62" t="str">
        <x:v>SAP HANA, AMDP &amp; Advanced SQL</x:v>
      </x:c>
      <x:c r="D301" s="62" t="str">
        <x:v>Code pushdown and data-to-code vs code-to-data</x:v>
      </x:c>
      <x:c r="E301" s="62" t="str">
        <x:v>For “Code pushdown and data-to-code vs code-to-data”: explain its purpose and key rules, demonstrate a small example or trace, handle one common edge case/failure, and name a relevant best practice or trade-off.</x:v>
      </x:c>
      <x:c r="F301" s="62" t="str">
        <x:v>Advanced</x:v>
      </x:c>
      <x:c r="G301" s="62" t="str">
        <x:v>P1</x:v>
      </x:c>
      <x:c r="H301" s="62" t="str">
        <x:v>Not Started</x:v>
      </x:c>
      <x:c r="I301" s="62"/>
      <x:c r="J301" s="66"/>
      <x:c r="K301" s="62" t="str"/>
      <x:c r="L301" s="62" t="str"/>
    </x:row>
    <x:row r="302" ht="40" customHeight="1">
      <x:c r="A302" s="62" t="str">
        <x:v>ABAP-298</x:v>
      </x:c>
      <x:c r="B302" s="62" t="str">
        <x:v>19 | SAP HANA, AMDP &amp; Advanced SQL</x:v>
      </x:c>
      <x:c r="C302" s="62" t="str">
        <x:v>SAP HANA, AMDP &amp; Advanced SQL</x:v>
      </x:c>
      <x:c r="D302" s="62" t="str">
        <x:v>AMDP class, marker interface and method implementation</x:v>
      </x:c>
      <x:c r="E302" s="62" t="str">
        <x:v>For “AMDP class, marker interface and method implementation”: explain its purpose and key rules, demonstrate a small example or trace, handle one common edge case/failure, and name a relevant best practice or trade-off.</x:v>
      </x:c>
      <x:c r="F302" s="62" t="str">
        <x:v>Advanced</x:v>
      </x:c>
      <x:c r="G302" s="62" t="str">
        <x:v>P2</x:v>
      </x:c>
      <x:c r="H302" s="62" t="str">
        <x:v>Not Started</x:v>
      </x:c>
      <x:c r="I302" s="62"/>
      <x:c r="J302" s="66"/>
      <x:c r="K302" s="62" t="str"/>
      <x:c r="L302" s="62" t="str"/>
    </x:row>
    <x:row r="303" ht="40" customHeight="1">
      <x:c r="A303" s="62" t="str">
        <x:v>ABAP-299</x:v>
      </x:c>
      <x:c r="B303" s="62" t="str">
        <x:v>19 | SAP HANA, AMDP &amp; Advanced SQL</x:v>
      </x:c>
      <x:c r="C303" s="62" t="str">
        <x:v>SAP HANA, AMDP &amp; Advanced SQL</x:v>
      </x:c>
      <x:c r="D303" s="62" t="str">
        <x:v>SQLScript basics: variables, SELECT and control logic</x:v>
      </x:c>
      <x:c r="E303" s="62" t="str">
        <x:v>For “SQLScript basics: variables, SELECT and control logic”: explain its purpose and key rules, demonstrate a small example or trace, handle one common edge case/failure, and name a relevant best practice or trade-off.</x:v>
      </x:c>
      <x:c r="F303" s="62" t="str">
        <x:v>Advanced</x:v>
      </x:c>
      <x:c r="G303" s="62" t="str">
        <x:v>P2</x:v>
      </x:c>
      <x:c r="H303" s="62" t="str">
        <x:v>Not Started</x:v>
      </x:c>
      <x:c r="I303" s="62"/>
      <x:c r="J303" s="66"/>
      <x:c r="K303" s="62" t="str"/>
      <x:c r="L303" s="62" t="str"/>
    </x:row>
    <x:row r="304" ht="40" customHeight="1">
      <x:c r="A304" s="62" t="str">
        <x:v>ABAP-300</x:v>
      </x:c>
      <x:c r="B304" s="62" t="str">
        <x:v>19 | SAP HANA, AMDP &amp; Advanced SQL</x:v>
      </x:c>
      <x:c r="C304" s="62" t="str">
        <x:v>SAP HANA, AMDP &amp; Advanced SQL</x:v>
      </x:c>
      <x:c r="D304" s="62" t="str">
        <x:v>AMDP USING clause and dependency declaration</x:v>
      </x:c>
      <x:c r="E304" s="62" t="str">
        <x:v>For “AMDP USING clause and dependency declaration”: explain its purpose and key rules, demonstrate a small example or trace, handle one common edge case/failure, and name a relevant best practice or trade-off.</x:v>
      </x:c>
      <x:c r="F304" s="62" t="str">
        <x:v>Advanced</x:v>
      </x:c>
      <x:c r="G304" s="62" t="str">
        <x:v>P2</x:v>
      </x:c>
      <x:c r="H304" s="62" t="str">
        <x:v>Not Started</x:v>
      </x:c>
      <x:c r="I304" s="62"/>
      <x:c r="J304" s="66"/>
      <x:c r="K304" s="62" t="str"/>
      <x:c r="L304" s="62" t="str"/>
    </x:row>
    <x:row r="305" ht="40" customHeight="1">
      <x:c r="A305" s="62" t="str">
        <x:v>ABAP-301</x:v>
      </x:c>
      <x:c r="B305" s="62" t="str">
        <x:v>19 | SAP HANA, AMDP &amp; Advanced SQL</x:v>
      </x:c>
      <x:c r="C305" s="62" t="str">
        <x:v>SAP HANA, AMDP &amp; Advanced SQL</x:v>
      </x:c>
      <x:c r="D305" s="62" t="str">
        <x:v>Table functions implemented with AMDP</x:v>
      </x:c>
      <x:c r="E305" s="62" t="str">
        <x:v>For “Table functions implemented with AMDP”: explain its purpose and key rules, demonstrate a small example or trace, handle one common edge case/failure, and name a relevant best practice or trade-off.</x:v>
      </x:c>
      <x:c r="F305" s="62" t="str">
        <x:v>Advanced</x:v>
      </x:c>
      <x:c r="G305" s="62" t="str">
        <x:v>P2</x:v>
      </x:c>
      <x:c r="H305" s="62" t="str">
        <x:v>Not Started</x:v>
      </x:c>
      <x:c r="I305" s="62"/>
      <x:c r="J305" s="66"/>
      <x:c r="K305" s="62" t="str"/>
      <x:c r="L305" s="62" t="str"/>
    </x:row>
    <x:row r="306" ht="40" customHeight="1">
      <x:c r="A306" s="62" t="str">
        <x:v>ABAP-302</x:v>
      </x:c>
      <x:c r="B306" s="62" t="str">
        <x:v>19 | SAP HANA, AMDP &amp; Advanced SQL</x:v>
      </x:c>
      <x:c r="C306" s="62" t="str">
        <x:v>SAP HANA, AMDP &amp; Advanced SQL</x:v>
      </x:c>
      <x:c r="D306" s="62" t="str">
        <x:v>Client handling in AMDP and CDS table functions</x:v>
      </x:c>
      <x:c r="E306" s="62" t="str">
        <x:v>For “Client handling in AMDP and CDS table functions”: explain its purpose and key rules, demonstrate a small example or trace, handle one common edge case/failure, and name a relevant best practice or trade-off.</x:v>
      </x:c>
      <x:c r="F306" s="62" t="str">
        <x:v>Advanced</x:v>
      </x:c>
      <x:c r="G306" s="62" t="str">
        <x:v>P2</x:v>
      </x:c>
      <x:c r="H306" s="62" t="str">
        <x:v>Not Started</x:v>
      </x:c>
      <x:c r="I306" s="62"/>
      <x:c r="J306" s="66"/>
      <x:c r="K306" s="62" t="str"/>
      <x:c r="L306" s="62" t="str">
        <x:v>CDS documentation (Resources)</x:v>
      </x:c>
    </x:row>
    <x:row r="307" ht="40" customHeight="1">
      <x:c r="A307" s="62" t="str">
        <x:v>ABAP-303</x:v>
      </x:c>
      <x:c r="B307" s="62" t="str">
        <x:v>19 | SAP HANA, AMDP &amp; Advanced SQL</x:v>
      </x:c>
      <x:c r="C307" s="62" t="str">
        <x:v>SAP HANA, AMDP &amp; Advanced SQL</x:v>
      </x:c>
      <x:c r="D307" s="62" t="str">
        <x:v>SQLScript joins, unions, aggregation and ranking</x:v>
      </x:c>
      <x:c r="E307" s="62" t="str">
        <x:v>For “SQLScript joins, unions, aggregation and ranking”: explain its purpose and key rules, demonstrate a small example or trace, handle one common edge case/failure, and name a relevant best practice or trade-off.</x:v>
      </x:c>
      <x:c r="F307" s="62" t="str">
        <x:v>Advanced</x:v>
      </x:c>
      <x:c r="G307" s="62" t="str">
        <x:v>P2</x:v>
      </x:c>
      <x:c r="H307" s="62" t="str">
        <x:v>Not Started</x:v>
      </x:c>
      <x:c r="I307" s="62"/>
      <x:c r="J307" s="66"/>
      <x:c r="K307" s="62" t="str"/>
      <x:c r="L307" s="62" t="str"/>
    </x:row>
    <x:row r="308" ht="40" customHeight="1">
      <x:c r="A308" s="62" t="str">
        <x:v>ABAP-304</x:v>
      </x:c>
      <x:c r="B308" s="62" t="str">
        <x:v>19 | SAP HANA, AMDP &amp; Advanced SQL</x:v>
      </x:c>
      <x:c r="C308" s="62" t="str">
        <x:v>SAP HANA, AMDP &amp; Advanced SQL</x:v>
      </x:c>
      <x:c r="D308" s="62" t="str">
        <x:v>HANA execution plans and expensive statement concepts</x:v>
      </x:c>
      <x:c r="E308" s="62" t="str">
        <x:v>For “HANA execution plans and expensive statement concepts”: explain its purpose and key rules, demonstrate a small example or trace, handle one common edge case/failure, and name a relevant best practice or trade-off.</x:v>
      </x:c>
      <x:c r="F308" s="62" t="str">
        <x:v>Advanced</x:v>
      </x:c>
      <x:c r="G308" s="62" t="str">
        <x:v>P2</x:v>
      </x:c>
      <x:c r="H308" s="62" t="str">
        <x:v>Not Started</x:v>
      </x:c>
      <x:c r="I308" s="62"/>
      <x:c r="J308" s="66"/>
      <x:c r="K308" s="62" t="str"/>
      <x:c r="L308" s="62" t="str"/>
    </x:row>
    <x:row r="309" ht="40" customHeight="1">
      <x:c r="A309" s="62" t="str">
        <x:v>ABAP-305</x:v>
      </x:c>
      <x:c r="B309" s="62" t="str">
        <x:v>19 | SAP HANA, AMDP &amp; Advanced SQL</x:v>
      </x:c>
      <x:c r="C309" s="62" t="str">
        <x:v>SAP HANA, AMDP &amp; Advanced SQL</x:v>
      </x:c>
      <x:c r="D309" s="62" t="str">
        <x:v>Calculation views vs ABAP CDS awareness</x:v>
      </x:c>
      <x:c r="E309" s="62" t="str">
        <x:v>For “Calculation views vs ABAP CDS awareness”: explain its purpose and key rules, demonstrate a small example or trace, handle one common edge case/failure, and name a relevant best practice or trade-off.</x:v>
      </x:c>
      <x:c r="F309" s="62" t="str">
        <x:v>Advanced</x:v>
      </x:c>
      <x:c r="G309" s="62" t="str">
        <x:v>P3</x:v>
      </x:c>
      <x:c r="H309" s="62" t="str">
        <x:v>Not Started</x:v>
      </x:c>
      <x:c r="I309" s="62"/>
      <x:c r="J309" s="66"/>
      <x:c r="K309" s="62" t="str"/>
      <x:c r="L309" s="62" t="str">
        <x:v>CDS documentation (Resources)</x:v>
      </x:c>
    </x:row>
    <x:row r="310" ht="40" customHeight="1">
      <x:c r="A310" s="62" t="str">
        <x:v>ABAP-306</x:v>
      </x:c>
      <x:c r="B310" s="62" t="str">
        <x:v>19 | SAP HANA, AMDP &amp; Advanced SQL</x:v>
      </x:c>
      <x:c r="C310" s="62" t="str">
        <x:v>SAP HANA, AMDP &amp; Advanced SQL</x:v>
      </x:c>
      <x:c r="D310" s="62" t="str">
        <x:v>Choosing ABAP SQL vs CDS vs AMDP</x:v>
      </x:c>
      <x:c r="E310" s="62" t="str">
        <x:v>For “Choosing ABAP SQL vs CDS vs AMDP”: explain its purpose and key rules, demonstrate a small example or trace, handle one common edge case/failure, and name a relevant best practice or trade-off.</x:v>
      </x:c>
      <x:c r="F310" s="62" t="str">
        <x:v>Advanced</x:v>
      </x:c>
      <x:c r="G310" s="62" t="str">
        <x:v>P1</x:v>
      </x:c>
      <x:c r="H310" s="62" t="str">
        <x:v>Not Started</x:v>
      </x:c>
      <x:c r="I310" s="62"/>
      <x:c r="J310" s="66"/>
      <x:c r="K310" s="62" t="str"/>
      <x:c r="L310" s="62" t="str">
        <x:v>CDS documentation (Resources)</x:v>
      </x:c>
    </x:row>
    <x:row r="311" ht="40" customHeight="1">
      <x:c r="A311" s="62" t="str">
        <x:v>ABAP-307</x:v>
      </x:c>
      <x:c r="B311" s="62" t="str">
        <x:v>20 | OData &amp; SAP Gateway</x:v>
      </x:c>
      <x:c r="C311" s="62" t="str">
        <x:v>OData &amp; SAP Gateway</x:v>
      </x:c>
      <x:c r="D311" s="62" t="str">
        <x:v>OData concepts: entity, entity set, navigation and metadata</x:v>
      </x:c>
      <x:c r="E311" s="62" t="str">
        <x:v>For “OData concepts: entity, entity set, navigation and metadata”: explain its purpose and key rules, demonstrate a small example or trace, handle one common edge case/failure, and name a relevant best practice or trade-off.</x:v>
      </x:c>
      <x:c r="F311" s="62" t="str">
        <x:v>Modern</x:v>
      </x:c>
      <x:c r="G311" s="62" t="str">
        <x:v>P1</x:v>
      </x:c>
      <x:c r="H311" s="62" t="str">
        <x:v>Not Started</x:v>
      </x:c>
      <x:c r="I311" s="62"/>
      <x:c r="J311" s="66"/>
      <x:c r="K311" s="62" t="str"/>
      <x:c r="L311" s="62" t="str"/>
    </x:row>
    <x:row r="312" ht="40" customHeight="1">
      <x:c r="A312" s="62" t="str">
        <x:v>ABAP-308</x:v>
      </x:c>
      <x:c r="B312" s="62" t="str">
        <x:v>20 | OData &amp; SAP Gateway</x:v>
      </x:c>
      <x:c r="C312" s="62" t="str">
        <x:v>OData &amp; SAP Gateway</x:v>
      </x:c>
      <x:c r="D312" s="62" t="str">
        <x:v>OData V2 vs V4 and where each is used</x:v>
      </x:c>
      <x:c r="E312" s="62" t="str">
        <x:v>For “OData V2 vs V4 and where each is used”: explain its purpose and key rules, demonstrate a small example or trace, handle one common edge case/failure, and name a relevant best practice or trade-off.</x:v>
      </x:c>
      <x:c r="F312" s="62" t="str">
        <x:v>Modern</x:v>
      </x:c>
      <x:c r="G312" s="62" t="str">
        <x:v>P1</x:v>
      </x:c>
      <x:c r="H312" s="62" t="str">
        <x:v>Not Started</x:v>
      </x:c>
      <x:c r="I312" s="62"/>
      <x:c r="J312" s="66"/>
      <x:c r="K312" s="62" t="str"/>
      <x:c r="L312" s="62" t="str"/>
    </x:row>
    <x:row r="313" ht="40" customHeight="1">
      <x:c r="A313" s="62" t="str">
        <x:v>ABAP-309</x:v>
      </x:c>
      <x:c r="B313" s="62" t="str">
        <x:v>20 | OData &amp; SAP Gateway</x:v>
      </x:c>
      <x:c r="C313" s="62" t="str">
        <x:v>OData &amp; SAP Gateway</x:v>
      </x:c>
      <x:c r="D313" s="62" t="str">
        <x:v>SEGW project and service generation (classic Gateway)</x:v>
      </x:c>
      <x:c r="E313" s="62" t="str">
        <x:v>For “SEGW project and service generation (classic Gateway)”: explain its purpose and key rules, demonstrate a small example or trace, handle one common edge case/failure, and name a relevant best practice or trade-off.</x:v>
      </x:c>
      <x:c r="F313" s="62" t="str">
        <x:v>Modern</x:v>
      </x:c>
      <x:c r="G313" s="62" t="str">
        <x:v>P1</x:v>
      </x:c>
      <x:c r="H313" s="62" t="str">
        <x:v>Not Started</x:v>
      </x:c>
      <x:c r="I313" s="62"/>
      <x:c r="J313" s="66"/>
      <x:c r="K313" s="62" t="str"/>
      <x:c r="L313" s="62" t="str"/>
    </x:row>
    <x:row r="314" ht="40" customHeight="1">
      <x:c r="A314" s="62" t="str">
        <x:v>ABAP-310</x:v>
      </x:c>
      <x:c r="B314" s="62" t="str">
        <x:v>20 | OData &amp; SAP Gateway</x:v>
      </x:c>
      <x:c r="C314" s="62" t="str">
        <x:v>OData &amp; SAP Gateway</x:v>
      </x:c>
      <x:c r="D314" s="62" t="str">
        <x:v>MPC/MPC_EXT and model definition</x:v>
      </x:c>
      <x:c r="E314" s="62" t="str">
        <x:v>For “MPC/MPC_EXT and model definition”: explain its purpose and key rules, demonstrate a small example or trace, handle one common edge case/failure, and name a relevant best practice or trade-off.</x:v>
      </x:c>
      <x:c r="F314" s="62" t="str">
        <x:v>Modern</x:v>
      </x:c>
      <x:c r="G314" s="62" t="str">
        <x:v>P1</x:v>
      </x:c>
      <x:c r="H314" s="62" t="str">
        <x:v>Not Started</x:v>
      </x:c>
      <x:c r="I314" s="62"/>
      <x:c r="J314" s="66"/>
      <x:c r="K314" s="62" t="str"/>
      <x:c r="L314" s="62" t="str"/>
    </x:row>
    <x:row r="315" ht="40" customHeight="1">
      <x:c r="A315" s="62" t="str">
        <x:v>ABAP-311</x:v>
      </x:c>
      <x:c r="B315" s="62" t="str">
        <x:v>20 | OData &amp; SAP Gateway</x:v>
      </x:c>
      <x:c r="C315" s="62" t="str">
        <x:v>OData &amp; SAP Gateway</x:v>
      </x:c>
      <x:c r="D315" s="62" t="str">
        <x:v>DPC/DPC_EXT and runtime methods</x:v>
      </x:c>
      <x:c r="E315" s="62" t="str">
        <x:v>For “DPC/DPC_EXT and runtime methods”: explain its purpose and key rules, demonstrate a small example or trace, handle one common edge case/failure, and name a relevant best practice or trade-off.</x:v>
      </x:c>
      <x:c r="F315" s="62" t="str">
        <x:v>Modern</x:v>
      </x:c>
      <x:c r="G315" s="62" t="str">
        <x:v>P1</x:v>
      </x:c>
      <x:c r="H315" s="62" t="str">
        <x:v>Not Started</x:v>
      </x:c>
      <x:c r="I315" s="62"/>
      <x:c r="J315" s="66"/>
      <x:c r="K315" s="62" t="str"/>
      <x:c r="L315" s="62" t="str"/>
    </x:row>
    <x:row r="316" ht="40" customHeight="1">
      <x:c r="A316" s="62" t="str">
        <x:v>ABAP-312</x:v>
      </x:c>
      <x:c r="B316" s="62" t="str">
        <x:v>20 | OData &amp; SAP Gateway</x:v>
      </x:c>
      <x:c r="C316" s="62" t="str">
        <x:v>OData &amp; SAP Gateway</x:v>
      </x:c>
      <x:c r="D316" s="62" t="str">
        <x:v>GET_ENTITYSET and GET_ENTITY filters</x:v>
      </x:c>
      <x:c r="E316" s="62" t="str">
        <x:v>For “GET_ENTITYSET and GET_ENTITY filters”: explain its purpose and key rules, demonstrate a small example or trace, handle one common edge case/failure, and name a relevant best practice or trade-off.</x:v>
      </x:c>
      <x:c r="F316" s="62" t="str">
        <x:v>Modern</x:v>
      </x:c>
      <x:c r="G316" s="62" t="str">
        <x:v>P1</x:v>
      </x:c>
      <x:c r="H316" s="62" t="str">
        <x:v>Not Started</x:v>
      </x:c>
      <x:c r="I316" s="62"/>
      <x:c r="J316" s="66"/>
      <x:c r="K316" s="62" t="str"/>
      <x:c r="L316" s="62" t="str"/>
    </x:row>
    <x:row r="317" ht="40" customHeight="1">
      <x:c r="A317" s="62" t="str">
        <x:v>ABAP-313</x:v>
      </x:c>
      <x:c r="B317" s="62" t="str">
        <x:v>20 | OData &amp; SAP Gateway</x:v>
      </x:c>
      <x:c r="C317" s="62" t="str">
        <x:v>OData &amp; SAP Gateway</x:v>
      </x:c>
      <x:c r="D317" s="62" t="str">
        <x:v>CREATE_ENTITY, UPDATE_ENTITY, DELETE_ENTITY</x:v>
      </x:c>
      <x:c r="E317" s="62" t="str">
        <x:v>For “CREATE_ENTITY, UPDATE_ENTITY, DELETE_ENTITY”: explain its purpose and key rules, demonstrate a small example or trace, handle one common edge case/failure, and name a relevant best practice or trade-off.</x:v>
      </x:c>
      <x:c r="F317" s="62" t="str">
        <x:v>Modern</x:v>
      </x:c>
      <x:c r="G317" s="62" t="str">
        <x:v>P1</x:v>
      </x:c>
      <x:c r="H317" s="62" t="str">
        <x:v>Not Started</x:v>
      </x:c>
      <x:c r="I317" s="62"/>
      <x:c r="J317" s="66"/>
      <x:c r="K317" s="62" t="str"/>
      <x:c r="L317" s="62" t="str"/>
    </x:row>
    <x:row r="318" ht="40" customHeight="1">
      <x:c r="A318" s="62" t="str">
        <x:v>ABAP-314</x:v>
      </x:c>
      <x:c r="B318" s="62" t="str">
        <x:v>20 | OData &amp; SAP Gateway</x:v>
      </x:c>
      <x:c r="C318" s="62" t="str">
        <x:v>OData &amp; SAP Gateway</x:v>
      </x:c>
      <x:c r="D318" s="62" t="str">
        <x:v>Deep insert and nested payload handling</x:v>
      </x:c>
      <x:c r="E318" s="62" t="str">
        <x:v>For “Deep insert and nested payload handling”: explain its purpose and key rules, demonstrate a small example or trace, handle one common edge case/failure, and name a relevant best practice or trade-off.</x:v>
      </x:c>
      <x:c r="F318" s="62" t="str">
        <x:v>Modern</x:v>
      </x:c>
      <x:c r="G318" s="62" t="str">
        <x:v>P2</x:v>
      </x:c>
      <x:c r="H318" s="62" t="str">
        <x:v>Not Started</x:v>
      </x:c>
      <x:c r="I318" s="62"/>
      <x:c r="J318" s="66"/>
      <x:c r="K318" s="62" t="str"/>
      <x:c r="L318" s="62" t="str"/>
    </x:row>
    <x:row r="319" ht="40" customHeight="1">
      <x:c r="A319" s="62" t="str">
        <x:v>ABAP-315</x:v>
      </x:c>
      <x:c r="B319" s="62" t="str">
        <x:v>20 | OData &amp; SAP Gateway</x:v>
      </x:c>
      <x:c r="C319" s="62" t="str">
        <x:v>OData &amp; SAP Gateway</x:v>
      </x:c>
      <x:c r="D319" s="62" t="str">
        <x:v>Navigation properties and $expand</x:v>
      </x:c>
      <x:c r="E319" s="62" t="str">
        <x:v>For “Navigation properties and $expand”: explain its purpose and key rules, demonstrate a small example or trace, handle one common edge case/failure, and name a relevant best practice or trade-off.</x:v>
      </x:c>
      <x:c r="F319" s="62" t="str">
        <x:v>Modern</x:v>
      </x:c>
      <x:c r="G319" s="62" t="str">
        <x:v>P1</x:v>
      </x:c>
      <x:c r="H319" s="62" t="str">
        <x:v>Not Started</x:v>
      </x:c>
      <x:c r="I319" s="62"/>
      <x:c r="J319" s="66"/>
      <x:c r="K319" s="62" t="str"/>
      <x:c r="L319" s="62" t="str"/>
    </x:row>
    <x:row r="320" ht="40" customHeight="1">
      <x:c r="A320" s="62" t="str">
        <x:v>ABAP-316</x:v>
      </x:c>
      <x:c r="B320" s="62" t="str">
        <x:v>20 | OData &amp; SAP Gateway</x:v>
      </x:c>
      <x:c r="C320" s="62" t="str">
        <x:v>OData &amp; SAP Gateway</x:v>
      </x:c>
      <x:c r="D320" s="62" t="str">
        <x:v>$filter, $select, $orderby, $top, $skip and paging</x:v>
      </x:c>
      <x:c r="E320" s="62" t="str">
        <x:v>For “$filter, $select, $orderby, $top, $skip and paging”: explain its purpose and key rules, demonstrate a small example or trace, handle one common edge case/failure, and name a relevant best practice or trade-off.</x:v>
      </x:c>
      <x:c r="F320" s="62" t="str">
        <x:v>Modern</x:v>
      </x:c>
      <x:c r="G320" s="62" t="str">
        <x:v>P1</x:v>
      </x:c>
      <x:c r="H320" s="62" t="str">
        <x:v>Not Started</x:v>
      </x:c>
      <x:c r="I320" s="62"/>
      <x:c r="J320" s="66"/>
      <x:c r="K320" s="62" t="str"/>
      <x:c r="L320" s="62" t="str"/>
    </x:row>
    <x:row r="321" ht="40" customHeight="1">
      <x:c r="A321" s="62" t="str">
        <x:v>ABAP-317</x:v>
      </x:c>
      <x:c r="B321" s="62" t="str">
        <x:v>20 | OData &amp; SAP Gateway</x:v>
      </x:c>
      <x:c r="C321" s="62" t="str">
        <x:v>OData &amp; SAP Gateway</x:v>
      </x:c>
      <x:c r="D321" s="62" t="str">
        <x:v>$count and server-side filtering/aggregation awareness</x:v>
      </x:c>
      <x:c r="E321" s="62" t="str">
        <x:v>For “$count and server-side filtering/aggregation awareness”: explain its purpose and key rules, demonstrate a small example or trace, handle one common edge case/failure, and name a relevant best practice or trade-off.</x:v>
      </x:c>
      <x:c r="F321" s="62" t="str">
        <x:v>Modern</x:v>
      </x:c>
      <x:c r="G321" s="62" t="str">
        <x:v>P2</x:v>
      </x:c>
      <x:c r="H321" s="62" t="str">
        <x:v>Not Started</x:v>
      </x:c>
      <x:c r="I321" s="62"/>
      <x:c r="J321" s="66"/>
      <x:c r="K321" s="62" t="str"/>
      <x:c r="L321" s="62" t="str"/>
    </x:row>
    <x:row r="322" ht="40" customHeight="1">
      <x:c r="A322" s="62" t="str">
        <x:v>ABAP-318</x:v>
      </x:c>
      <x:c r="B322" s="62" t="str">
        <x:v>20 | OData &amp; SAP Gateway</x:v>
      </x:c>
      <x:c r="C322" s="62" t="str">
        <x:v>OData &amp; SAP Gateway</x:v>
      </x:c>
      <x:c r="D322" s="62" t="str">
        <x:v>HTTP status codes and Gateway error container</x:v>
      </x:c>
      <x:c r="E322" s="62" t="str">
        <x:v>For “HTTP status codes and Gateway error container”: explain its purpose and key rules, demonstrate a small example or trace, handle one common edge case/failure, and name a relevant best practice or trade-off.</x:v>
      </x:c>
      <x:c r="F322" s="62" t="str">
        <x:v>Modern</x:v>
      </x:c>
      <x:c r="G322" s="62" t="str">
        <x:v>P1</x:v>
      </x:c>
      <x:c r="H322" s="62" t="str">
        <x:v>Not Started</x:v>
      </x:c>
      <x:c r="I322" s="62"/>
      <x:c r="J322" s="66"/>
      <x:c r="K322" s="62" t="str"/>
      <x:c r="L322" s="62" t="str"/>
    </x:row>
    <x:row r="323" ht="40" customHeight="1">
      <x:c r="A323" s="62" t="str">
        <x:v>ABAP-319</x:v>
      </x:c>
      <x:c r="B323" s="62" t="str">
        <x:v>20 | OData &amp; SAP Gateway</x:v>
      </x:c>
      <x:c r="C323" s="62" t="str">
        <x:v>OData &amp; SAP Gateway</x:v>
      </x:c>
      <x:c r="D323" s="62" t="str">
        <x:v>CSRF token flow and session handling</x:v>
      </x:c>
      <x:c r="E323" s="62" t="str">
        <x:v>For “CSRF token flow and session handling”: explain its purpose and key rules, demonstrate a small example or trace, handle one common edge case/failure, and name a relevant best practice or trade-off.</x:v>
      </x:c>
      <x:c r="F323" s="62" t="str">
        <x:v>Modern</x:v>
      </x:c>
      <x:c r="G323" s="62" t="str">
        <x:v>P1</x:v>
      </x:c>
      <x:c r="H323" s="62" t="str">
        <x:v>Not Started</x:v>
      </x:c>
      <x:c r="I323" s="62"/>
      <x:c r="J323" s="66"/>
      <x:c r="K323" s="62" t="str"/>
      <x:c r="L323" s="62" t="str"/>
    </x:row>
    <x:row r="324" ht="40" customHeight="1">
      <x:c r="A324" s="62" t="str">
        <x:v>ABAP-320</x:v>
      </x:c>
      <x:c r="B324" s="62" t="str">
        <x:v>20 | OData &amp; SAP Gateway</x:v>
      </x:c>
      <x:c r="C324" s="62" t="str">
        <x:v>OData &amp; SAP Gateway</x:v>
      </x:c>
      <x:c r="D324" s="62" t="str">
        <x:v>ETag, concurrency and optimistic locking</x:v>
      </x:c>
      <x:c r="E324" s="62" t="str">
        <x:v>For “ETag, concurrency and optimistic locking”: explain its purpose and key rules, demonstrate a small example or trace, handle one common edge case/failure, and name a relevant best practice or trade-off.</x:v>
      </x:c>
      <x:c r="F324" s="62" t="str">
        <x:v>Modern</x:v>
      </x:c>
      <x:c r="G324" s="62" t="str">
        <x:v>P2</x:v>
      </x:c>
      <x:c r="H324" s="62" t="str">
        <x:v>Not Started</x:v>
      </x:c>
      <x:c r="I324" s="62"/>
      <x:c r="J324" s="66"/>
      <x:c r="K324" s="62" t="str"/>
      <x:c r="L324" s="62" t="str"/>
    </x:row>
    <x:row r="325" ht="40" customHeight="1">
      <x:c r="A325" s="62" t="str">
        <x:v>ABAP-321</x:v>
      </x:c>
      <x:c r="B325" s="62" t="str">
        <x:v>20 | OData &amp; SAP Gateway</x:v>
      </x:c>
      <x:c r="C325" s="62" t="str">
        <x:v>OData &amp; SAP Gateway</x:v>
      </x:c>
      <x:c r="D325" s="62" t="str">
        <x:v>$batch changesets and transaction boundaries</x:v>
      </x:c>
      <x:c r="E325" s="62" t="str">
        <x:v>For “$batch changesets and transaction boundaries”: explain its purpose and key rules, demonstrate a small example or trace, handle one common edge case/failure, and name a relevant best practice or trade-off.</x:v>
      </x:c>
      <x:c r="F325" s="62" t="str">
        <x:v>Modern</x:v>
      </x:c>
      <x:c r="G325" s="62" t="str">
        <x:v>P2</x:v>
      </x:c>
      <x:c r="H325" s="62" t="str">
        <x:v>Not Started</x:v>
      </x:c>
      <x:c r="I325" s="62"/>
      <x:c r="J325" s="66"/>
      <x:c r="K325" s="62" t="str"/>
      <x:c r="L325" s="62" t="str"/>
    </x:row>
    <x:row r="326" ht="40" customHeight="1">
      <x:c r="A326" s="62" t="str">
        <x:v>ABAP-322</x:v>
      </x:c>
      <x:c r="B326" s="62" t="str">
        <x:v>20 | OData &amp; SAP Gateway</x:v>
      </x:c>
      <x:c r="C326" s="62" t="str">
        <x:v>OData &amp; SAP Gateway</x:v>
      </x:c>
      <x:c r="D326" s="62" t="str">
        <x:v>OData metadata and payload debugging</x:v>
      </x:c>
      <x:c r="E326" s="62" t="str">
        <x:v>For “OData metadata and payload debugging”: explain its purpose and key rules, demonstrate a small example or trace, handle one common edge case/failure, and name a relevant best practice or trade-off.</x:v>
      </x:c>
      <x:c r="F326" s="62" t="str">
        <x:v>Modern</x:v>
      </x:c>
      <x:c r="G326" s="62" t="str">
        <x:v>P1</x:v>
      </x:c>
      <x:c r="H326" s="62" t="str">
        <x:v>Not Started</x:v>
      </x:c>
      <x:c r="I326" s="62"/>
      <x:c r="J326" s="66"/>
      <x:c r="K326" s="62" t="str"/>
      <x:c r="L326" s="62" t="str"/>
    </x:row>
    <x:row r="327" ht="40" customHeight="1">
      <x:c r="A327" s="62" t="str">
        <x:v>ABAP-323</x:v>
      </x:c>
      <x:c r="B327" s="62" t="str">
        <x:v>20 | OData &amp; SAP Gateway</x:v>
      </x:c>
      <x:c r="C327" s="62" t="str">
        <x:v>OData &amp; SAP Gateway</x:v>
      </x:c>
      <x:c r="D327" s="62" t="str">
        <x:v>/IWFND/ERROR_LOG and /IWBEP/ERROR_LOG</x:v>
      </x:c>
      <x:c r="E327" s="62" t="str">
        <x:v>For “/IWFND/ERROR_LOG and /IWBEP/ERROR_LOG”: explain its purpose and key rules, demonstrate a small example or trace, handle one common edge case/failure, and name a relevant best practice or trade-off.</x:v>
      </x:c>
      <x:c r="F327" s="62" t="str">
        <x:v>Modern</x:v>
      </x:c>
      <x:c r="G327" s="62" t="str">
        <x:v>P1</x:v>
      </x:c>
      <x:c r="H327" s="62" t="str">
        <x:v>Not Started</x:v>
      </x:c>
      <x:c r="I327" s="62"/>
      <x:c r="J327" s="66"/>
      <x:c r="K327" s="62" t="str"/>
      <x:c r="L327" s="62" t="str"/>
    </x:row>
    <x:row r="328" ht="40" customHeight="1">
      <x:c r="A328" s="62" t="str">
        <x:v>ABAP-324</x:v>
      </x:c>
      <x:c r="B328" s="62" t="str">
        <x:v>20 | OData &amp; SAP Gateway</x:v>
      </x:c>
      <x:c r="C328" s="62" t="str">
        <x:v>OData &amp; SAP Gateway</x:v>
      </x:c>
      <x:c r="D328" s="62" t="str">
        <x:v>Service registration, aliases and system routing</x:v>
      </x:c>
      <x:c r="E328" s="62" t="str">
        <x:v>For “Service registration, aliases and system routing”: explain its purpose and key rules, demonstrate a small example or trace, handle one common edge case/failure, and name a relevant best practice or trade-off.</x:v>
      </x:c>
      <x:c r="F328" s="62" t="str">
        <x:v>Modern</x:v>
      </x:c>
      <x:c r="G328" s="62" t="str">
        <x:v>P1</x:v>
      </x:c>
      <x:c r="H328" s="62" t="str">
        <x:v>Not Started</x:v>
      </x:c>
      <x:c r="I328" s="62"/>
      <x:c r="J328" s="66"/>
      <x:c r="K328" s="62" t="str"/>
      <x:c r="L328" s="62" t="str"/>
    </x:row>
    <x:row r="329" ht="40" customHeight="1">
      <x:c r="A329" s="62" t="str">
        <x:v>ABAP-325</x:v>
      </x:c>
      <x:c r="B329" s="62" t="str">
        <x:v>20 | OData &amp; SAP Gateway</x:v>
      </x:c>
      <x:c r="C329" s="62" t="str">
        <x:v>OData &amp; SAP Gateway</x:v>
      </x:c>
      <x:c r="D329" s="62" t="str">
        <x:v>ABAP CDS service definition and service binding</x:v>
      </x:c>
      <x:c r="E329" s="62" t="str">
        <x:v>For “ABAP CDS service definition and service binding”: explain its purpose and key rules, demonstrate a small example or trace, handle one common edge case/failure, and name a relevant best practice or trade-off.</x:v>
      </x:c>
      <x:c r="F329" s="62" t="str">
        <x:v>Modern</x:v>
      </x:c>
      <x:c r="G329" s="62" t="str">
        <x:v>P1</x:v>
      </x:c>
      <x:c r="H329" s="62" t="str">
        <x:v>Not Started</x:v>
      </x:c>
      <x:c r="I329" s="62"/>
      <x:c r="J329" s="66"/>
      <x:c r="K329" s="62" t="str"/>
      <x:c r="L329" s="62" t="str">
        <x:v>CDS documentation (Resources)</x:v>
      </x:c>
    </x:row>
    <x:row r="330" ht="40" customHeight="1">
      <x:c r="A330" s="62" t="str">
        <x:v>ABAP-326</x:v>
      </x:c>
      <x:c r="B330" s="62" t="str">
        <x:v>20 | OData &amp; SAP Gateway</x:v>
      </x:c>
      <x:c r="C330" s="62" t="str">
        <x:v>OData &amp; SAP Gateway</x:v>
      </x:c>
      <x:c r="D330" s="62" t="str">
        <x:v>Consuming OData with HTTP clients / proxies</x:v>
      </x:c>
      <x:c r="E330" s="62" t="str">
        <x:v>For “Consuming OData with HTTP clients / proxies”: explain its purpose and key rules, demonstrate a small example or trace, handle one common edge case/failure, and name a relevant best practice or trade-off.</x:v>
      </x:c>
      <x:c r="F330" s="62" t="str">
        <x:v>Modern</x:v>
      </x:c>
      <x:c r="G330" s="62" t="str">
        <x:v>P2</x:v>
      </x:c>
      <x:c r="H330" s="62" t="str">
        <x:v>Not Started</x:v>
      </x:c>
      <x:c r="I330" s="62"/>
      <x:c r="J330" s="66"/>
      <x:c r="K330" s="62" t="str"/>
      <x:c r="L330" s="62" t="str"/>
    </x:row>
    <x:row r="331" ht="40" customHeight="1">
      <x:c r="A331" s="62" t="str">
        <x:v>ABAP-327</x:v>
      </x:c>
      <x:c r="B331" s="62" t="str">
        <x:v>21 | SAPUI5, Fiori &amp; ABAP Integration</x:v>
      </x:c>
      <x:c r="C331" s="62" t="str">
        <x:v>SAPUI5, Fiori &amp; ABAP Integration</x:v>
      </x:c>
      <x:c r="D331" s="62" t="str">
        <x:v>JavaScript essentials: variables, functions, arrays, objects and promises</x:v>
      </x:c>
      <x:c r="E331" s="62" t="str">
        <x:v>For “JavaScript essentials: variables, functions, arrays, objects and promises”: explain its purpose and key rules, demonstrate a small example or trace, handle one common edge case/failure, and name a relevant best practice or trade-off.</x:v>
      </x:c>
      <x:c r="F331" s="62" t="str">
        <x:v>Adjacent</x:v>
      </x:c>
      <x:c r="G331" s="62" t="str">
        <x:v>P1</x:v>
      </x:c>
      <x:c r="H331" s="62" t="str">
        <x:v>Not Started</x:v>
      </x:c>
      <x:c r="I331" s="62"/>
      <x:c r="J331" s="66"/>
      <x:c r="K331" s="62" t="str"/>
      <x:c r="L331" s="62" t="str"/>
    </x:row>
    <x:row r="332" ht="40" customHeight="1">
      <x:c r="A332" s="62" t="str">
        <x:v>ABAP-328</x:v>
      </x:c>
      <x:c r="B332" s="62" t="str">
        <x:v>21 | SAPUI5, Fiori &amp; ABAP Integration</x:v>
      </x:c>
      <x:c r="C332" s="62" t="str">
        <x:v>SAPUI5, Fiori &amp; ABAP Integration</x:v>
      </x:c>
      <x:c r="D332" s="62" t="str">
        <x:v>SAPUI5 MVC and XML views</x:v>
      </x:c>
      <x:c r="E332" s="62" t="str">
        <x:v>For “SAPUI5 MVC and XML views”: explain its purpose and key rules, demonstrate a small example or trace, handle one common edge case/failure, and name a relevant best practice or trade-off.</x:v>
      </x:c>
      <x:c r="F332" s="62" t="str">
        <x:v>Adjacent</x:v>
      </x:c>
      <x:c r="G332" s="62" t="str">
        <x:v>P1</x:v>
      </x:c>
      <x:c r="H332" s="62" t="str">
        <x:v>Not Started</x:v>
      </x:c>
      <x:c r="I332" s="62"/>
      <x:c r="J332" s="66"/>
      <x:c r="K332" s="62" t="str"/>
      <x:c r="L332" s="62" t="str"/>
    </x:row>
    <x:row r="333" ht="40" customHeight="1">
      <x:c r="A333" s="62" t="str">
        <x:v>ABAP-329</x:v>
      </x:c>
      <x:c r="B333" s="62" t="str">
        <x:v>21 | SAPUI5, Fiori &amp; ABAP Integration</x:v>
      </x:c>
      <x:c r="C333" s="62" t="str">
        <x:v>SAPUI5, Fiori &amp; ABAP Integration</x:v>
      </x:c>
      <x:c r="D333" s="62" t="str">
        <x:v>Controller lifecycle and event handling</x:v>
      </x:c>
      <x:c r="E333" s="62" t="str">
        <x:v>For “Controller lifecycle and event handling”: explain its purpose and key rules, demonstrate a small example or trace, handle one common edge case/failure, and name a relevant best practice or trade-off.</x:v>
      </x:c>
      <x:c r="F333" s="62" t="str">
        <x:v>Adjacent</x:v>
      </x:c>
      <x:c r="G333" s="62" t="str">
        <x:v>P1</x:v>
      </x:c>
      <x:c r="H333" s="62" t="str">
        <x:v>Not Started</x:v>
      </x:c>
      <x:c r="I333" s="62"/>
      <x:c r="J333" s="66"/>
      <x:c r="K333" s="62" t="str"/>
      <x:c r="L333" s="62" t="str"/>
    </x:row>
    <x:row r="334" ht="40" customHeight="1">
      <x:c r="A334" s="62" t="str">
        <x:v>ABAP-330</x:v>
      </x:c>
      <x:c r="B334" s="62" t="str">
        <x:v>21 | SAPUI5, Fiori &amp; ABAP Integration</x:v>
      </x:c>
      <x:c r="C334" s="62" t="str">
        <x:v>SAPUI5, Fiori &amp; ABAP Integration</x:v>
      </x:c>
      <x:c r="D334" s="62" t="str">
        <x:v>manifest.json, Component.js and app descriptor</x:v>
      </x:c>
      <x:c r="E334" s="62" t="str">
        <x:v>For “manifest.json, Component.js and app descriptor”: explain its purpose and key rules, demonstrate a small example or trace, handle one common edge case/failure, and name a relevant best practice or trade-off.</x:v>
      </x:c>
      <x:c r="F334" s="62" t="str">
        <x:v>Adjacent</x:v>
      </x:c>
      <x:c r="G334" s="62" t="str">
        <x:v>P1</x:v>
      </x:c>
      <x:c r="H334" s="62" t="str">
        <x:v>Not Started</x:v>
      </x:c>
      <x:c r="I334" s="62"/>
      <x:c r="J334" s="66"/>
      <x:c r="K334" s="62" t="str"/>
      <x:c r="L334" s="62" t="str"/>
    </x:row>
    <x:row r="335" ht="40" customHeight="1">
      <x:c r="A335" s="62" t="str">
        <x:v>ABAP-331</x:v>
      </x:c>
      <x:c r="B335" s="62" t="str">
        <x:v>21 | SAPUI5, Fiori &amp; ABAP Integration</x:v>
      </x:c>
      <x:c r="C335" s="62" t="str">
        <x:v>SAPUI5, Fiori &amp; ABAP Integration</x:v>
      </x:c>
      <x:c r="D335" s="62" t="str">
        <x:v>JSONModel vs ODataModel</x:v>
      </x:c>
      <x:c r="E335" s="62" t="str">
        <x:v>For “JSONModel vs ODataModel”: explain its purpose and key rules, demonstrate a small example or trace, handle one common edge case/failure, and name a relevant best practice or trade-off.</x:v>
      </x:c>
      <x:c r="F335" s="62" t="str">
        <x:v>Adjacent</x:v>
      </x:c>
      <x:c r="G335" s="62" t="str">
        <x:v>P1</x:v>
      </x:c>
      <x:c r="H335" s="62" t="str">
        <x:v>Not Started</x:v>
      </x:c>
      <x:c r="I335" s="62"/>
      <x:c r="J335" s="66"/>
      <x:c r="K335" s="62" t="str"/>
      <x:c r="L335" s="62" t="str"/>
    </x:row>
    <x:row r="336" ht="40" customHeight="1">
      <x:c r="A336" s="62" t="str">
        <x:v>ABAP-332</x:v>
      </x:c>
      <x:c r="B336" s="62" t="str">
        <x:v>21 | SAPUI5, Fiori &amp; ABAP Integration</x:v>
      </x:c>
      <x:c r="C336" s="62" t="str">
        <x:v>SAPUI5, Fiori &amp; ABAP Integration</x:v>
      </x:c>
      <x:c r="D336" s="62" t="str">
        <x:v>OData V2 model read/create/update/remove</x:v>
      </x:c>
      <x:c r="E336" s="62" t="str">
        <x:v>For “OData V2 model read/create/update/remove”: explain its purpose and key rules, demonstrate a small example or trace, handle one common edge case/failure, and name a relevant best practice or trade-off.</x:v>
      </x:c>
      <x:c r="F336" s="62" t="str">
        <x:v>Adjacent</x:v>
      </x:c>
      <x:c r="G336" s="62" t="str">
        <x:v>P1</x:v>
      </x:c>
      <x:c r="H336" s="62" t="str">
        <x:v>Not Started</x:v>
      </x:c>
      <x:c r="I336" s="62"/>
      <x:c r="J336" s="66"/>
      <x:c r="K336" s="62" t="str"/>
      <x:c r="L336" s="62" t="str"/>
    </x:row>
    <x:row r="337" ht="40" customHeight="1">
      <x:c r="A337" s="62" t="str">
        <x:v>ABAP-333</x:v>
      </x:c>
      <x:c r="B337" s="62" t="str">
        <x:v>21 | SAPUI5, Fiori &amp; ABAP Integration</x:v>
      </x:c>
      <x:c r="C337" s="62" t="str">
        <x:v>SAPUI5, Fiori &amp; ABAP Integration</x:v>
      </x:c>
      <x:c r="D337" s="62" t="str">
        <x:v>Binding: property, element, aggregation and expression</x:v>
      </x:c>
      <x:c r="E337" s="62" t="str">
        <x:v>For “Binding: property, element, aggregation and expression”: explain its purpose and key rules, demonstrate a small example or trace, handle one common edge case/failure, and name a relevant best practice or trade-off.</x:v>
      </x:c>
      <x:c r="F337" s="62" t="str">
        <x:v>Adjacent</x:v>
      </x:c>
      <x:c r="G337" s="62" t="str">
        <x:v>P1</x:v>
      </x:c>
      <x:c r="H337" s="62" t="str">
        <x:v>Not Started</x:v>
      </x:c>
      <x:c r="I337" s="62"/>
      <x:c r="J337" s="66"/>
      <x:c r="K337" s="62" t="str"/>
      <x:c r="L337" s="62" t="str"/>
    </x:row>
    <x:row r="338" ht="40" customHeight="1">
      <x:c r="A338" s="62" t="str">
        <x:v>ABAP-334</x:v>
      </x:c>
      <x:c r="B338" s="62" t="str">
        <x:v>21 | SAPUI5, Fiori &amp; ABAP Integration</x:v>
      </x:c>
      <x:c r="C338" s="62" t="str">
        <x:v>SAPUI5, Fiori &amp; ABAP Integration</x:v>
      </x:c>
      <x:c r="D338" s="62" t="str">
        <x:v>SmartFilterBar and SmartTable concepts</x:v>
      </x:c>
      <x:c r="E338" s="62" t="str">
        <x:v>For “SmartFilterBar and SmartTable concepts”: explain its purpose and key rules, demonstrate a small example or trace, handle one common edge case/failure, and name a relevant best practice or trade-off.</x:v>
      </x:c>
      <x:c r="F338" s="62" t="str">
        <x:v>Adjacent</x:v>
      </x:c>
      <x:c r="G338" s="62" t="str">
        <x:v>P1</x:v>
      </x:c>
      <x:c r="H338" s="62" t="str">
        <x:v>Not Started</x:v>
      </x:c>
      <x:c r="I338" s="62"/>
      <x:c r="J338" s="66"/>
      <x:c r="K338" s="62" t="str"/>
      <x:c r="L338" s="62" t="str"/>
    </x:row>
    <x:row r="339" ht="40" customHeight="1">
      <x:c r="A339" s="62" t="str">
        <x:v>ABAP-335</x:v>
      </x:c>
      <x:c r="B339" s="62" t="str">
        <x:v>21 | SAPUI5, Fiori &amp; ABAP Integration</x:v>
      </x:c>
      <x:c r="C339" s="62" t="str">
        <x:v>SAPUI5, Fiori &amp; ABAP Integration</x:v>
      </x:c>
      <x:c r="D339" s="62" t="str">
        <x:v>Routing, targets and navigation</x:v>
      </x:c>
      <x:c r="E339" s="62" t="str">
        <x:v>For “Routing, targets and navigation”: explain its purpose and key rules, demonstrate a small example or trace, handle one common edge case/failure, and name a relevant best practice or trade-off.</x:v>
      </x:c>
      <x:c r="F339" s="62" t="str">
        <x:v>Adjacent</x:v>
      </x:c>
      <x:c r="G339" s="62" t="str">
        <x:v>P1</x:v>
      </x:c>
      <x:c r="H339" s="62" t="str">
        <x:v>Not Started</x:v>
      </x:c>
      <x:c r="I339" s="62"/>
      <x:c r="J339" s="66"/>
      <x:c r="K339" s="62" t="str"/>
      <x:c r="L339" s="62" t="str"/>
    </x:row>
    <x:row r="340" ht="40" customHeight="1">
      <x:c r="A340" s="62" t="str">
        <x:v>ABAP-336</x:v>
      </x:c>
      <x:c r="B340" s="62" t="str">
        <x:v>21 | SAPUI5, Fiori &amp; ABAP Integration</x:v>
      </x:c>
      <x:c r="C340" s="62" t="str">
        <x:v>SAPUI5, Fiori &amp; ABAP Integration</x:v>
      </x:c>
      <x:c r="D340" s="62" t="str">
        <x:v>Fragments, dialogs and reusable UI components</x:v>
      </x:c>
      <x:c r="E340" s="62" t="str">
        <x:v>For “Fragments, dialogs and reusable UI components”: explain its purpose and key rules, demonstrate a small example or trace, handle one common edge case/failure, and name a relevant best practice or trade-off.</x:v>
      </x:c>
      <x:c r="F340" s="62" t="str">
        <x:v>Adjacent</x:v>
      </x:c>
      <x:c r="G340" s="62" t="str">
        <x:v>P1</x:v>
      </x:c>
      <x:c r="H340" s="62" t="str">
        <x:v>Not Started</x:v>
      </x:c>
      <x:c r="I340" s="62"/>
      <x:c r="J340" s="66"/>
      <x:c r="K340" s="62" t="str"/>
      <x:c r="L340" s="62" t="str"/>
    </x:row>
    <x:row r="341" ht="40" customHeight="1">
      <x:c r="A341" s="62" t="str">
        <x:v>ABAP-337</x:v>
      </x:c>
      <x:c r="B341" s="62" t="str">
        <x:v>21 | SAPUI5, Fiori &amp; ABAP Integration</x:v>
      </x:c>
      <x:c r="C341" s="62" t="str">
        <x:v>SAPUI5, Fiori &amp; ABAP Integration</x:v>
      </x:c>
      <x:c r="D341" s="62" t="str">
        <x:v>Busy indicators, message manager and backend errors</x:v>
      </x:c>
      <x:c r="E341" s="62" t="str">
        <x:v>For “Busy indicators, message manager and backend errors”: explain its purpose and key rules, demonstrate a small example or trace, handle one common edge case/failure, and name a relevant best practice or trade-off.</x:v>
      </x:c>
      <x:c r="F341" s="62" t="str">
        <x:v>Adjacent</x:v>
      </x:c>
      <x:c r="G341" s="62" t="str">
        <x:v>P1</x:v>
      </x:c>
      <x:c r="H341" s="62" t="str">
        <x:v>Not Started</x:v>
      </x:c>
      <x:c r="I341" s="62"/>
      <x:c r="J341" s="66"/>
      <x:c r="K341" s="62" t="str"/>
      <x:c r="L341" s="62" t="str"/>
    </x:row>
    <x:row r="342" ht="40" customHeight="1">
      <x:c r="A342" s="62" t="str">
        <x:v>ABAP-338</x:v>
      </x:c>
      <x:c r="B342" s="62" t="str">
        <x:v>21 | SAPUI5, Fiori &amp; ABAP Integration</x:v>
      </x:c>
      <x:c r="C342" s="62" t="str">
        <x:v>SAPUI5, Fiori &amp; ABAP Integration</x:v>
      </x:c>
      <x:c r="D342" s="62" t="str">
        <x:v>Upload control, media streams and binary payload concepts</x:v>
      </x:c>
      <x:c r="E342" s="62" t="str">
        <x:v>For “Upload control, media streams and binary payload concepts”: explain its purpose and key rules, demonstrate a small example or trace, handle one common edge case/failure, and name a relevant best practice or trade-off.</x:v>
      </x:c>
      <x:c r="F342" s="62" t="str">
        <x:v>Adjacent</x:v>
      </x:c>
      <x:c r="G342" s="62" t="str">
        <x:v>P2</x:v>
      </x:c>
      <x:c r="H342" s="62" t="str">
        <x:v>Not Started</x:v>
      </x:c>
      <x:c r="I342" s="62"/>
      <x:c r="J342" s="66"/>
      <x:c r="K342" s="62" t="str"/>
      <x:c r="L342" s="62" t="str"/>
    </x:row>
    <x:row r="343" ht="40" customHeight="1">
      <x:c r="A343" s="62" t="str">
        <x:v>ABAP-339</x:v>
      </x:c>
      <x:c r="B343" s="62" t="str">
        <x:v>21 | SAPUI5, Fiori &amp; ABAP Integration</x:v>
      </x:c>
      <x:c r="C343" s="62" t="str">
        <x:v>SAPUI5, Fiori &amp; ABAP Integration</x:v>
      </x:c>
      <x:c r="D343" s="62" t="str">
        <x:v>CSRF token and OData write requests</x:v>
      </x:c>
      <x:c r="E343" s="62" t="str">
        <x:v>For “CSRF token and OData write requests”: explain its purpose and key rules, demonstrate a small example or trace, handle one common edge case/failure, and name a relevant best practice or trade-off.</x:v>
      </x:c>
      <x:c r="F343" s="62" t="str">
        <x:v>Adjacent</x:v>
      </x:c>
      <x:c r="G343" s="62" t="str">
        <x:v>P1</x:v>
      </x:c>
      <x:c r="H343" s="62" t="str">
        <x:v>Not Started</x:v>
      </x:c>
      <x:c r="I343" s="62"/>
      <x:c r="J343" s="66"/>
      <x:c r="K343" s="62" t="str"/>
      <x:c r="L343" s="62" t="str"/>
    </x:row>
    <x:row r="344" ht="40" customHeight="1">
      <x:c r="A344" s="62" t="str">
        <x:v>ABAP-340</x:v>
      </x:c>
      <x:c r="B344" s="62" t="str">
        <x:v>21 | SAPUI5, Fiori &amp; ABAP Integration</x:v>
      </x:c>
      <x:c r="C344" s="62" t="str">
        <x:v>SAPUI5, Fiori &amp; ABAP Integration</x:v>
      </x:c>
      <x:c r="D344" s="62" t="str">
        <x:v>Fiori Elements overview and metadata-driven UI</x:v>
      </x:c>
      <x:c r="E344" s="62" t="str">
        <x:v>For “Fiori Elements overview and metadata-driven UI”: explain its purpose and key rules, demonstrate a small example or trace, handle one common edge case/failure, and name a relevant best practice or trade-off.</x:v>
      </x:c>
      <x:c r="F344" s="62" t="str">
        <x:v>Adjacent</x:v>
      </x:c>
      <x:c r="G344" s="62" t="str">
        <x:v>P1</x:v>
      </x:c>
      <x:c r="H344" s="62" t="str">
        <x:v>Not Started</x:v>
      </x:c>
      <x:c r="I344" s="62"/>
      <x:c r="J344" s="66"/>
      <x:c r="K344" s="62" t="str"/>
      <x:c r="L344" s="62" t="str"/>
    </x:row>
    <x:row r="345" ht="40" customHeight="1">
      <x:c r="A345" s="62" t="str">
        <x:v>ABAP-341</x:v>
      </x:c>
      <x:c r="B345" s="62" t="str">
        <x:v>21 | SAPUI5, Fiori &amp; ABAP Integration</x:v>
      </x:c>
      <x:c r="C345" s="62" t="str">
        <x:v>SAPUI5, Fiori &amp; ABAP Integration</x:v>
      </x:c>
      <x:c r="D345" s="62" t="str">
        <x:v>UI annotations for line items, identification and selection fields</x:v>
      </x:c>
      <x:c r="E345" s="62" t="str">
        <x:v>For “UI annotations for line items, identification and selection fields”: explain its purpose and key rules, demonstrate a small example or trace, handle one common edge case/failure, and name a relevant best practice or trade-off.</x:v>
      </x:c>
      <x:c r="F345" s="62" t="str">
        <x:v>Adjacent</x:v>
      </x:c>
      <x:c r="G345" s="62" t="str">
        <x:v>P2</x:v>
      </x:c>
      <x:c r="H345" s="62" t="str">
        <x:v>Not Started</x:v>
      </x:c>
      <x:c r="I345" s="62"/>
      <x:c r="J345" s="66"/>
      <x:c r="K345" s="62" t="str"/>
      <x:c r="L345" s="62" t="str">
        <x:v>CDS documentation (Resources)</x:v>
      </x:c>
    </x:row>
    <x:row r="346" ht="40" customHeight="1">
      <x:c r="A346" s="62" t="str">
        <x:v>ABAP-342</x:v>
      </x:c>
      <x:c r="B346" s="62" t="str">
        <x:v>21 | SAPUI5, Fiori &amp; ABAP Integration</x:v>
      </x:c>
      <x:c r="C346" s="62" t="str">
        <x:v>SAPUI5, Fiori &amp; ABAP Integration</x:v>
      </x:c>
      <x:c r="D346" s="62" t="str">
        <x:v>Deployment/configuration and destination/proxy basics</x:v>
      </x:c>
      <x:c r="E346" s="62" t="str">
        <x:v>For “Deployment/configuration and destination/proxy basics”: explain its purpose and key rules, demonstrate a small example or trace, handle one common edge case/failure, and name a relevant best practice or trade-off.</x:v>
      </x:c>
      <x:c r="F346" s="62" t="str">
        <x:v>Adjacent</x:v>
      </x:c>
      <x:c r="G346" s="62" t="str">
        <x:v>P2</x:v>
      </x:c>
      <x:c r="H346" s="62" t="str">
        <x:v>Not Started</x:v>
      </x:c>
      <x:c r="I346" s="62"/>
      <x:c r="J346" s="66"/>
      <x:c r="K346" s="62" t="str"/>
      <x:c r="L346" s="62" t="str"/>
    </x:row>
    <x:row r="347" ht="40" customHeight="1">
      <x:c r="A347" s="62" t="str">
        <x:v>ABAP-343</x:v>
      </x:c>
      <x:c r="B347" s="62" t="str">
        <x:v>21 | SAPUI5, Fiori &amp; ABAP Integration</x:v>
      </x:c>
      <x:c r="C347" s="62" t="str">
        <x:v>SAPUI5, Fiori &amp; ABAP Integration</x:v>
      </x:c>
      <x:c r="D347" s="62" t="str">
        <x:v>Browser developer tools and Network tab debugging</x:v>
      </x:c>
      <x:c r="E347" s="62" t="str">
        <x:v>For “Browser developer tools and Network tab debugging”: explain its purpose and key rules, demonstrate a small example or trace, handle one common edge case/failure, and name a relevant best practice or trade-off.</x:v>
      </x:c>
      <x:c r="F347" s="62" t="str">
        <x:v>Adjacent</x:v>
      </x:c>
      <x:c r="G347" s="62" t="str">
        <x:v>P1</x:v>
      </x:c>
      <x:c r="H347" s="62" t="str">
        <x:v>Not Started</x:v>
      </x:c>
      <x:c r="I347" s="62"/>
      <x:c r="J347" s="66"/>
      <x:c r="K347" s="62" t="str"/>
      <x:c r="L347" s="62" t="str"/>
    </x:row>
    <x:row r="348" ht="40" customHeight="1">
      <x:c r="A348" s="62" t="str">
        <x:v>ABAP-344</x:v>
      </x:c>
      <x:c r="B348" s="62" t="str">
        <x:v>21 | SAPUI5, Fiori &amp; ABAP Integration</x:v>
      </x:c>
      <x:c r="C348" s="62" t="str">
        <x:v>SAPUI5, Fiori &amp; ABAP Integration</x:v>
      </x:c>
      <x:c r="D348" s="62" t="str">
        <x:v>Handling refresh, model update and stale table data</x:v>
      </x:c>
      <x:c r="E348" s="62" t="str">
        <x:v>For “Handling refresh, model update and stale table data”: explain its purpose and key rules, demonstrate a small example or trace, handle one common edge case/failure, and name a relevant best practice or trade-off.</x:v>
      </x:c>
      <x:c r="F348" s="62" t="str">
        <x:v>Adjacent</x:v>
      </x:c>
      <x:c r="G348" s="62" t="str">
        <x:v>P1</x:v>
      </x:c>
      <x:c r="H348" s="62" t="str">
        <x:v>Not Started</x:v>
      </x:c>
      <x:c r="I348" s="62"/>
      <x:c r="J348" s="66"/>
      <x:c r="K348" s="62" t="str"/>
      <x:c r="L348" s="62" t="str"/>
    </x:row>
    <x:row r="349" ht="40" customHeight="1">
      <x:c r="A349" s="62" t="str">
        <x:v>ABAP-345</x:v>
      </x:c>
      <x:c r="B349" s="62" t="str">
        <x:v>21 | SAPUI5, Fiori &amp; ABAP Integration</x:v>
      </x:c>
      <x:c r="C349" s="62" t="str">
        <x:v>SAPUI5, Fiori &amp; ABAP Integration</x:v>
      </x:c>
      <x:c r="D349" s="62" t="str">
        <x:v>Accessibility, responsive layout and standard controls</x:v>
      </x:c>
      <x:c r="E349" s="62" t="str">
        <x:v>For “Accessibility, responsive layout and standard controls”: explain its purpose and key rules, demonstrate a small example or trace, handle one common edge case/failure, and name a relevant best practice or trade-off.</x:v>
      </x:c>
      <x:c r="F349" s="62" t="str">
        <x:v>Adjacent</x:v>
      </x:c>
      <x:c r="G349" s="62" t="str">
        <x:v>P2</x:v>
      </x:c>
      <x:c r="H349" s="62" t="str">
        <x:v>Not Started</x:v>
      </x:c>
      <x:c r="I349" s="62"/>
      <x:c r="J349" s="66"/>
      <x:c r="K349" s="62" t="str"/>
      <x:c r="L349" s="62" t="str"/>
    </x:row>
    <x:row r="350" ht="40" customHeight="1">
      <x:c r="A350" s="62" t="str">
        <x:v>ABAP-346</x:v>
      </x:c>
      <x:c r="B350" s="62" t="str">
        <x:v>21 | SAPUI5, Fiori &amp; ABAP Integration</x:v>
      </x:c>
      <x:c r="C350" s="62" t="str">
        <x:v>SAPUI5, Fiori &amp; ABAP Integration</x:v>
      </x:c>
      <x:c r="D350" s="62" t="str">
        <x:v>Frontend/backend contract testing and payload validation</x:v>
      </x:c>
      <x:c r="E350" s="62" t="str">
        <x:v>For “Frontend/backend contract testing and payload validation”: explain its purpose and key rules, demonstrate a small example or trace, handle one common edge case/failure, and name a relevant best practice or trade-off.</x:v>
      </x:c>
      <x:c r="F350" s="62" t="str">
        <x:v>Adjacent</x:v>
      </x:c>
      <x:c r="G350" s="62" t="str">
        <x:v>P1</x:v>
      </x:c>
      <x:c r="H350" s="62" t="str">
        <x:v>Not Started</x:v>
      </x:c>
      <x:c r="I350" s="62"/>
      <x:c r="J350" s="66"/>
      <x:c r="K350" s="62" t="str"/>
      <x:c r="L350" s="62" t="str">
        <x:v>ABAP Unit resources (Resources)</x:v>
      </x:c>
    </x:row>
    <x:row r="351" ht="40" customHeight="1">
      <x:c r="A351" s="62" t="str">
        <x:v>ABAP-347</x:v>
      </x:c>
      <x:c r="B351" s="62" t="str">
        <x:v>22 | RAP &amp; Modern ABAP Services</x:v>
      </x:c>
      <x:c r="C351" s="62" t="str">
        <x:v>RAP &amp; Modern ABAP Services</x:v>
      </x:c>
      <x:c r="D351" s="62" t="str">
        <x:v>RAP architecture: data modeling, behavior and service provisioning</x:v>
      </x:c>
      <x:c r="E351" s="62" t="str">
        <x:v>For “RAP architecture: data modeling, behavior and service provisioning”: explain its purpose and key rules, demonstrate a small example or trace, handle one common edge case/failure, and name a relevant best practice or trade-off.</x:v>
      </x:c>
      <x:c r="F351" s="62" t="str">
        <x:v>Modern</x:v>
      </x:c>
      <x:c r="G351" s="62" t="str">
        <x:v>P1</x:v>
      </x:c>
      <x:c r="H351" s="62" t="str">
        <x:v>Not Started</x:v>
      </x:c>
      <x:c r="I351" s="62"/>
      <x:c r="J351" s="66"/>
      <x:c r="K351" s="62" t="str"/>
      <x:c r="L351" s="62" t="str">
        <x:v>RAP tutorials (Resources)</x:v>
      </x:c>
    </x:row>
    <x:row r="352" ht="40" customHeight="1">
      <x:c r="A352" s="62" t="str">
        <x:v>ABAP-348</x:v>
      </x:c>
      <x:c r="B352" s="62" t="str">
        <x:v>22 | RAP &amp; Modern ABAP Services</x:v>
      </x:c>
      <x:c r="C352" s="62" t="str">
        <x:v>RAP &amp; Modern ABAP Services</x:v>
      </x:c>
      <x:c r="D352" s="62" t="str">
        <x:v>Interface/root CDS view entity</x:v>
      </x:c>
      <x:c r="E352" s="62" t="str">
        <x:v>For “Interface/root CDS view entity”: explain its purpose and key rules, demonstrate a small example or trace, handle one common edge case/failure, and name a relevant best practice or trade-off.</x:v>
      </x:c>
      <x:c r="F352" s="62" t="str">
        <x:v>Modern</x:v>
      </x:c>
      <x:c r="G352" s="62" t="str">
        <x:v>P1</x:v>
      </x:c>
      <x:c r="H352" s="62" t="str">
        <x:v>Not Started</x:v>
      </x:c>
      <x:c r="I352" s="62"/>
      <x:c r="J352" s="66"/>
      <x:c r="K352" s="62" t="str"/>
      <x:c r="L352" s="62" t="str">
        <x:v>CDS documentation (Resources)</x:v>
      </x:c>
    </x:row>
    <x:row r="353" ht="40" customHeight="1">
      <x:c r="A353" s="62" t="str">
        <x:v>ABAP-349</x:v>
      </x:c>
      <x:c r="B353" s="62" t="str">
        <x:v>22 | RAP &amp; Modern ABAP Services</x:v>
      </x:c>
      <x:c r="C353" s="62" t="str">
        <x:v>RAP &amp; Modern ABAP Services</x:v>
      </x:c>
      <x:c r="D353" s="62" t="str">
        <x:v>Projection view and projection behavior</x:v>
      </x:c>
      <x:c r="E353" s="62" t="str">
        <x:v>For “Projection view and projection behavior”: explain its purpose and key rules, demonstrate a small example or trace, handle one common edge case/failure, and name a relevant best practice or trade-off.</x:v>
      </x:c>
      <x:c r="F353" s="62" t="str">
        <x:v>Modern</x:v>
      </x:c>
      <x:c r="G353" s="62" t="str">
        <x:v>P1</x:v>
      </x:c>
      <x:c r="H353" s="62" t="str">
        <x:v>Not Started</x:v>
      </x:c>
      <x:c r="I353" s="62"/>
      <x:c r="J353" s="66"/>
      <x:c r="K353" s="62" t="str"/>
      <x:c r="L353" s="62" t="str">
        <x:v>RAP tutorials (Resources)</x:v>
      </x:c>
    </x:row>
    <x:row r="354" ht="40" customHeight="1">
      <x:c r="A354" s="62" t="str">
        <x:v>ABAP-350</x:v>
      </x:c>
      <x:c r="B354" s="62" t="str">
        <x:v>22 | RAP &amp; Modern ABAP Services</x:v>
      </x:c>
      <x:c r="C354" s="62" t="str">
        <x:v>RAP &amp; Modern ABAP Services</x:v>
      </x:c>
      <x:c r="D354" s="62" t="str">
        <x:v>Behavior definition (BDEF) and implementation class</x:v>
      </x:c>
      <x:c r="E354" s="62" t="str">
        <x:v>For “Behavior definition (BDEF) and implementation class”: explain its purpose and key rules, demonstrate a small example or trace, handle one common edge case/failure, and name a relevant best practice or trade-off.</x:v>
      </x:c>
      <x:c r="F354" s="62" t="str">
        <x:v>Modern</x:v>
      </x:c>
      <x:c r="G354" s="62" t="str">
        <x:v>P1</x:v>
      </x:c>
      <x:c r="H354" s="62" t="str">
        <x:v>Not Started</x:v>
      </x:c>
      <x:c r="I354" s="62"/>
      <x:c r="J354" s="66"/>
      <x:c r="K354" s="62" t="str"/>
      <x:c r="L354" s="62" t="str">
        <x:v>RAP tutorials (Resources)</x:v>
      </x:c>
    </x:row>
    <x:row r="355" ht="40" customHeight="1">
      <x:c r="A355" s="62" t="str">
        <x:v>ABAP-351</x:v>
      </x:c>
      <x:c r="B355" s="62" t="str">
        <x:v>22 | RAP &amp; Modern ABAP Services</x:v>
      </x:c>
      <x:c r="C355" s="62" t="str">
        <x:v>RAP &amp; Modern ABAP Services</x:v>
      </x:c>
      <x:c r="D355" s="62" t="str">
        <x:v>Managed vs unmanaged implementation</x:v>
      </x:c>
      <x:c r="E355" s="62" t="str">
        <x:v>For “Managed vs unmanaged implementation”: explain its purpose and key rules, demonstrate a small example or trace, handle one common edge case/failure, and name a relevant best practice or trade-off.</x:v>
      </x:c>
      <x:c r="F355" s="62" t="str">
        <x:v>Modern</x:v>
      </x:c>
      <x:c r="G355" s="62" t="str">
        <x:v>P1</x:v>
      </x:c>
      <x:c r="H355" s="62" t="str">
        <x:v>Not Started</x:v>
      </x:c>
      <x:c r="I355" s="62"/>
      <x:c r="J355" s="66"/>
      <x:c r="K355" s="62" t="str"/>
      <x:c r="L355" s="62" t="str"/>
    </x:row>
    <x:row r="356" ht="40" customHeight="1">
      <x:c r="A356" s="62" t="str">
        <x:v>ABAP-352</x:v>
      </x:c>
      <x:c r="B356" s="62" t="str">
        <x:v>22 | RAP &amp; Modern ABAP Services</x:v>
      </x:c>
      <x:c r="C356" s="62" t="str">
        <x:v>RAP &amp; Modern ABAP Services</x:v>
      </x:c>
      <x:c r="D356" s="62" t="str">
        <x:v>Early vs late numbering</x:v>
      </x:c>
      <x:c r="E356" s="62" t="str">
        <x:v>For “Early vs late numbering”: explain its purpose and key rules, demonstrate a small example or trace, handle one common edge case/failure, and name a relevant best practice or trade-off.</x:v>
      </x:c>
      <x:c r="F356" s="62" t="str">
        <x:v>Modern</x:v>
      </x:c>
      <x:c r="G356" s="62" t="str">
        <x:v>P2</x:v>
      </x:c>
      <x:c r="H356" s="62" t="str">
        <x:v>Not Started</x:v>
      </x:c>
      <x:c r="I356" s="62"/>
      <x:c r="J356" s="66"/>
      <x:c r="K356" s="62" t="str"/>
      <x:c r="L356" s="62" t="str"/>
    </x:row>
    <x:row r="357" ht="40" customHeight="1">
      <x:c r="A357" s="62" t="str">
        <x:v>ABAP-353</x:v>
      </x:c>
      <x:c r="B357" s="62" t="str">
        <x:v>22 | RAP &amp; Modern ABAP Services</x:v>
      </x:c>
      <x:c r="C357" s="62" t="str">
        <x:v>RAP &amp; Modern ABAP Services</x:v>
      </x:c>
      <x:c r="D357" s="62" t="str">
        <x:v>Determinations and their trigger timing</x:v>
      </x:c>
      <x:c r="E357" s="62" t="str">
        <x:v>For “Determinations and their trigger timing”: explain its purpose and key rules, demonstrate a small example or trace, handle one common edge case/failure, and name a relevant best practice or trade-off.</x:v>
      </x:c>
      <x:c r="F357" s="62" t="str">
        <x:v>Modern</x:v>
      </x:c>
      <x:c r="G357" s="62" t="str">
        <x:v>P1</x:v>
      </x:c>
      <x:c r="H357" s="62" t="str">
        <x:v>Not Started</x:v>
      </x:c>
      <x:c r="I357" s="62"/>
      <x:c r="J357" s="66"/>
      <x:c r="K357" s="62" t="str"/>
      <x:c r="L357" s="62" t="str"/>
    </x:row>
    <x:row r="358" ht="40" customHeight="1">
      <x:c r="A358" s="62" t="str">
        <x:v>ABAP-354</x:v>
      </x:c>
      <x:c r="B358" s="62" t="str">
        <x:v>22 | RAP &amp; Modern ABAP Services</x:v>
      </x:c>
      <x:c r="C358" s="62" t="str">
        <x:v>RAP &amp; Modern ABAP Services</x:v>
      </x:c>
      <x:c r="D358" s="62" t="str">
        <x:v>Validations and failed/reported response handling</x:v>
      </x:c>
      <x:c r="E358" s="62" t="str">
        <x:v>For “Validations and failed/reported response handling”: explain its purpose and key rules, demonstrate a small example or trace, handle one common edge case/failure, and name a relevant best practice or trade-off.</x:v>
      </x:c>
      <x:c r="F358" s="62" t="str">
        <x:v>Modern</x:v>
      </x:c>
      <x:c r="G358" s="62" t="str">
        <x:v>P1</x:v>
      </x:c>
      <x:c r="H358" s="62" t="str">
        <x:v>Not Started</x:v>
      </x:c>
      <x:c r="I358" s="62"/>
      <x:c r="J358" s="66"/>
      <x:c r="K358" s="62" t="str"/>
      <x:c r="L358" s="62" t="str"/>
    </x:row>
    <x:row r="359" ht="40" customHeight="1">
      <x:c r="A359" s="62" t="str">
        <x:v>ABAP-355</x:v>
      </x:c>
      <x:c r="B359" s="62" t="str">
        <x:v>22 | RAP &amp; Modern ABAP Services</x:v>
      </x:c>
      <x:c r="C359" s="62" t="str">
        <x:v>RAP &amp; Modern ABAP Services</x:v>
      </x:c>
      <x:c r="D359" s="62" t="str">
        <x:v>Instance actions and factory actions</x:v>
      </x:c>
      <x:c r="E359" s="62" t="str">
        <x:v>For “Instance actions and factory actions”: explain its purpose and key rules, demonstrate a small example or trace, handle one common edge case/failure, and name a relevant best practice or trade-off.</x:v>
      </x:c>
      <x:c r="F359" s="62" t="str">
        <x:v>Modern</x:v>
      </x:c>
      <x:c r="G359" s="62" t="str">
        <x:v>P2</x:v>
      </x:c>
      <x:c r="H359" s="62" t="str">
        <x:v>Not Started</x:v>
      </x:c>
      <x:c r="I359" s="62"/>
      <x:c r="J359" s="66"/>
      <x:c r="K359" s="62" t="str"/>
      <x:c r="L359" s="62" t="str"/>
    </x:row>
    <x:row r="360" ht="40" customHeight="1">
      <x:c r="A360" s="62" t="str">
        <x:v>ABAP-356</x:v>
      </x:c>
      <x:c r="B360" s="62" t="str">
        <x:v>22 | RAP &amp; Modern ABAP Services</x:v>
      </x:c>
      <x:c r="C360" s="62" t="str">
        <x:v>RAP &amp; Modern ABAP Services</x:v>
      </x:c>
      <x:c r="D360" s="62" t="str">
        <x:v>Feature control: static and dynamic</x:v>
      </x:c>
      <x:c r="E360" s="62" t="str">
        <x:v>For “Feature control: static and dynamic”: explain its purpose and key rules, demonstrate a small example or trace, handle one common edge case/failure, and name a relevant best practice or trade-off.</x:v>
      </x:c>
      <x:c r="F360" s="62" t="str">
        <x:v>Modern</x:v>
      </x:c>
      <x:c r="G360" s="62" t="str">
        <x:v>P2</x:v>
      </x:c>
      <x:c r="H360" s="62" t="str">
        <x:v>Not Started</x:v>
      </x:c>
      <x:c r="I360" s="62"/>
      <x:c r="J360" s="66"/>
      <x:c r="K360" s="62" t="str"/>
      <x:c r="L360" s="62" t="str"/>
    </x:row>
    <x:row r="361" ht="40" customHeight="1">
      <x:c r="A361" s="62" t="str">
        <x:v>ABAP-357</x:v>
      </x:c>
      <x:c r="B361" s="62" t="str">
        <x:v>22 | RAP &amp; Modern ABAP Services</x:v>
      </x:c>
      <x:c r="C361" s="62" t="str">
        <x:v>RAP &amp; Modern ABAP Services</x:v>
      </x:c>
      <x:c r="D361" s="62" t="str">
        <x:v>Authorization control and authorization master</x:v>
      </x:c>
      <x:c r="E361" s="62" t="str">
        <x:v>For “Authorization control and authorization master”: explain its purpose and key rules, demonstrate a small example or trace, handle one common edge case/failure, and name a relevant best practice or trade-off.</x:v>
      </x:c>
      <x:c r="F361" s="62" t="str">
        <x:v>Modern</x:v>
      </x:c>
      <x:c r="G361" s="62" t="str">
        <x:v>P1</x:v>
      </x:c>
      <x:c r="H361" s="62" t="str">
        <x:v>Not Started</x:v>
      </x:c>
      <x:c r="I361" s="62"/>
      <x:c r="J361" s="66"/>
      <x:c r="K361" s="62" t="str"/>
      <x:c r="L361" s="62" t="str"/>
    </x:row>
    <x:row r="362" ht="40" customHeight="1">
      <x:c r="A362" s="62" t="str">
        <x:v>ABAP-358</x:v>
      </x:c>
      <x:c r="B362" s="62" t="str">
        <x:v>22 | RAP &amp; Modern ABAP Services</x:v>
      </x:c>
      <x:c r="C362" s="62" t="str">
        <x:v>RAP &amp; Modern ABAP Services</x:v>
      </x:c>
      <x:c r="D362" s="62" t="str">
        <x:v>Locking, ETag and optimistic concurrency</x:v>
      </x:c>
      <x:c r="E362" s="62" t="str">
        <x:v>For “Locking, ETag and optimistic concurrency”: explain its purpose and key rules, demonstrate a small example or trace, handle one common edge case/failure, and name a relevant best practice or trade-off.</x:v>
      </x:c>
      <x:c r="F362" s="62" t="str">
        <x:v>Modern</x:v>
      </x:c>
      <x:c r="G362" s="62" t="str">
        <x:v>P1</x:v>
      </x:c>
      <x:c r="H362" s="62" t="str">
        <x:v>Not Started</x:v>
      </x:c>
      <x:c r="I362" s="62"/>
      <x:c r="J362" s="66"/>
      <x:c r="K362" s="62" t="str"/>
      <x:c r="L362" s="62" t="str"/>
    </x:row>
    <x:row r="363" ht="40" customHeight="1">
      <x:c r="A363" s="62" t="str">
        <x:v>ABAP-359</x:v>
      </x:c>
      <x:c r="B363" s="62" t="str">
        <x:v>22 | RAP &amp; Modern ABAP Services</x:v>
      </x:c>
      <x:c r="C363" s="62" t="str">
        <x:v>RAP &amp; Modern ABAP Services</x:v>
      </x:c>
      <x:c r="D363" s="62" t="str">
        <x:v>Draft-enabled business objects</x:v>
      </x:c>
      <x:c r="E363" s="62" t="str">
        <x:v>For “Draft-enabled business objects”: explain its purpose and key rules, demonstrate a small example or trace, handle one common edge case/failure, and name a relevant best practice or trade-off.</x:v>
      </x:c>
      <x:c r="F363" s="62" t="str">
        <x:v>Modern</x:v>
      </x:c>
      <x:c r="G363" s="62" t="str">
        <x:v>P2</x:v>
      </x:c>
      <x:c r="H363" s="62" t="str">
        <x:v>Not Started</x:v>
      </x:c>
      <x:c r="I363" s="62"/>
      <x:c r="J363" s="66"/>
      <x:c r="K363" s="62" t="str"/>
      <x:c r="L363" s="62" t="str">
        <x:v>RAP tutorials (Resources)</x:v>
      </x:c>
    </x:row>
    <x:row r="364" ht="40" customHeight="1">
      <x:c r="A364" s="62" t="str">
        <x:v>ABAP-360</x:v>
      </x:c>
      <x:c r="B364" s="62" t="str">
        <x:v>22 | RAP &amp; Modern ABAP Services</x:v>
      </x:c>
      <x:c r="C364" s="62" t="str">
        <x:v>RAP &amp; Modern ABAP Services</x:v>
      </x:c>
      <x:c r="D364" s="62" t="str">
        <x:v>Composition, child entities and deep transactional behavior</x:v>
      </x:c>
      <x:c r="E364" s="62" t="str">
        <x:v>For “Composition, child entities and deep transactional behavior”: explain its purpose and key rules, demonstrate a small example or trace, handle one common edge case/failure, and name a relevant best practice or trade-off.</x:v>
      </x:c>
      <x:c r="F364" s="62" t="str">
        <x:v>Modern</x:v>
      </x:c>
      <x:c r="G364" s="62" t="str">
        <x:v>P1</x:v>
      </x:c>
      <x:c r="H364" s="62" t="str">
        <x:v>Not Started</x:v>
      </x:c>
      <x:c r="I364" s="62"/>
      <x:c r="J364" s="66"/>
      <x:c r="K364" s="62" t="str"/>
      <x:c r="L364" s="62" t="str">
        <x:v>RAP tutorials (Resources)</x:v>
      </x:c>
    </x:row>
    <x:row r="365" ht="40" customHeight="1">
      <x:c r="A365" s="62" t="str">
        <x:v>ABAP-361</x:v>
      </x:c>
      <x:c r="B365" s="62" t="str">
        <x:v>22 | RAP &amp; Modern ABAP Services</x:v>
      </x:c>
      <x:c r="C365" s="62" t="str">
        <x:v>RAP &amp; Modern ABAP Services</x:v>
      </x:c>
      <x:c r="D365" s="62" t="str">
        <x:v>Messages, reported and failed structures</x:v>
      </x:c>
      <x:c r="E365" s="62" t="str">
        <x:v>For “Messages, reported and failed structures”: explain its purpose and key rules, demonstrate a small example or trace, handle one common edge case/failure, and name a relevant best practice or trade-off.</x:v>
      </x:c>
      <x:c r="F365" s="62" t="str">
        <x:v>Modern</x:v>
      </x:c>
      <x:c r="G365" s="62" t="str">
        <x:v>P1</x:v>
      </x:c>
      <x:c r="H365" s="62" t="str">
        <x:v>Not Started</x:v>
      </x:c>
      <x:c r="I365" s="62"/>
      <x:c r="J365" s="66"/>
      <x:c r="K365" s="62" t="str"/>
      <x:c r="L365" s="62" t="str"/>
    </x:row>
    <x:row r="366" ht="40" customHeight="1">
      <x:c r="A366" s="62" t="str">
        <x:v>ABAP-362</x:v>
      </x:c>
      <x:c r="B366" s="62" t="str">
        <x:v>22 | RAP &amp; Modern ABAP Services</x:v>
      </x:c>
      <x:c r="C366" s="62" t="str">
        <x:v>RAP &amp; Modern ABAP Services</x:v>
      </x:c>
      <x:c r="D366" s="62" t="str">
        <x:v>EML: READ ENTITIES, MODIFY ENTITIES and COMMIT ENTITIES</x:v>
      </x:c>
      <x:c r="E366" s="62" t="str">
        <x:v>For “EML: READ ENTITIES, MODIFY ENTITIES and COMMIT ENTITIES”: explain its purpose and key rules, demonstrate a small example or trace, handle one common edge case/failure, and name a relevant best practice or trade-off.</x:v>
      </x:c>
      <x:c r="F366" s="62" t="str">
        <x:v>Modern</x:v>
      </x:c>
      <x:c r="G366" s="62" t="str">
        <x:v>P1</x:v>
      </x:c>
      <x:c r="H366" s="62" t="str">
        <x:v>Not Started</x:v>
      </x:c>
      <x:c r="I366" s="62"/>
      <x:c r="J366" s="66"/>
      <x:c r="K366" s="62" t="str"/>
      <x:c r="L366" s="62" t="str">
        <x:v>RAP tutorials (Resources)</x:v>
      </x:c>
    </x:row>
    <x:row r="367" ht="40" customHeight="1">
      <x:c r="A367" s="62" t="str">
        <x:v>ABAP-363</x:v>
      </x:c>
      <x:c r="B367" s="62" t="str">
        <x:v>22 | RAP &amp; Modern ABAP Services</x:v>
      </x:c>
      <x:c r="C367" s="62" t="str">
        <x:v>RAP &amp; Modern ABAP Services</x:v>
      </x:c>
      <x:c r="D367" s="62" t="str">
        <x:v>Transactional buffer and save sequence concepts</x:v>
      </x:c>
      <x:c r="E367" s="62" t="str">
        <x:v>For “Transactional buffer and save sequence concepts”: explain its purpose and key rules, demonstrate a small example or trace, handle one common edge case/failure, and name a relevant best practice or trade-off.</x:v>
      </x:c>
      <x:c r="F367" s="62" t="str">
        <x:v>Modern</x:v>
      </x:c>
      <x:c r="G367" s="62" t="str">
        <x:v>P2</x:v>
      </x:c>
      <x:c r="H367" s="62" t="str">
        <x:v>Not Started</x:v>
      </x:c>
      <x:c r="I367" s="62"/>
      <x:c r="J367" s="66"/>
      <x:c r="K367" s="62" t="str"/>
      <x:c r="L367" s="62" t="str"/>
    </x:row>
    <x:row r="368" ht="40" customHeight="1">
      <x:c r="A368" s="62" t="str">
        <x:v>ABAP-364</x:v>
      </x:c>
      <x:c r="B368" s="62" t="str">
        <x:v>22 | RAP &amp; Modern ABAP Services</x:v>
      </x:c>
      <x:c r="C368" s="62" t="str">
        <x:v>RAP &amp; Modern ABAP Services</x:v>
      </x:c>
      <x:c r="D368" s="62" t="str">
        <x:v>Service definition and service binding</x:v>
      </x:c>
      <x:c r="E368" s="62" t="str">
        <x:v>For “Service definition and service binding”: explain its purpose and key rules, demonstrate a small example or trace, handle one common edge case/failure, and name a relevant best practice or trade-off.</x:v>
      </x:c>
      <x:c r="F368" s="62" t="str">
        <x:v>Modern</x:v>
      </x:c>
      <x:c r="G368" s="62" t="str">
        <x:v>P1</x:v>
      </x:c>
      <x:c r="H368" s="62" t="str">
        <x:v>Not Started</x:v>
      </x:c>
      <x:c r="I368" s="62"/>
      <x:c r="J368" s="66"/>
      <x:c r="K368" s="62" t="str"/>
      <x:c r="L368" s="62" t="str"/>
    </x:row>
    <x:row r="369" ht="40" customHeight="1">
      <x:c r="A369" s="62" t="str">
        <x:v>ABAP-365</x:v>
      </x:c>
      <x:c r="B369" s="62" t="str">
        <x:v>22 | RAP &amp; Modern ABAP Services</x:v>
      </x:c>
      <x:c r="C369" s="62" t="str">
        <x:v>RAP &amp; Modern ABAP Services</x:v>
      </x:c>
      <x:c r="D369" s="62" t="str">
        <x:v>OData V4 service and Fiori Elements preview</x:v>
      </x:c>
      <x:c r="E369" s="62" t="str">
        <x:v>For “OData V4 service and Fiori Elements preview”: explain its purpose and key rules, demonstrate a small example or trace, handle one common edge case/failure, and name a relevant best practice or trade-off.</x:v>
      </x:c>
      <x:c r="F369" s="62" t="str">
        <x:v>Modern</x:v>
      </x:c>
      <x:c r="G369" s="62" t="str">
        <x:v>P1</x:v>
      </x:c>
      <x:c r="H369" s="62" t="str">
        <x:v>Not Started</x:v>
      </x:c>
      <x:c r="I369" s="62"/>
      <x:c r="J369" s="66"/>
      <x:c r="K369" s="62" t="str"/>
      <x:c r="L369" s="62" t="str"/>
    </x:row>
    <x:row r="370" ht="40" customHeight="1">
      <x:c r="A370" s="62" t="str">
        <x:v>ABAP-366</x:v>
      </x:c>
      <x:c r="B370" s="62" t="str">
        <x:v>22 | RAP &amp; Modern ABAP Services</x:v>
      </x:c>
      <x:c r="C370" s="62" t="str">
        <x:v>RAP &amp; Modern ABAP Services</x:v>
      </x:c>
      <x:c r="D370" s="62" t="str">
        <x:v>Custom entities and query implementation classes</x:v>
      </x:c>
      <x:c r="E370" s="62" t="str">
        <x:v>For “Custom entities and query implementation classes”: explain its purpose and key rules, demonstrate a small example or trace, handle one common edge case/failure, and name a relevant best practice or trade-off.</x:v>
      </x:c>
      <x:c r="F370" s="62" t="str">
        <x:v>Modern</x:v>
      </x:c>
      <x:c r="G370" s="62" t="str">
        <x:v>P2</x:v>
      </x:c>
      <x:c r="H370" s="62" t="str">
        <x:v>Not Started</x:v>
      </x:c>
      <x:c r="I370" s="62"/>
      <x:c r="J370" s="66"/>
      <x:c r="K370" s="62" t="str"/>
      <x:c r="L370" s="62" t="str"/>
    </x:row>
    <x:row r="371" ht="40" customHeight="1">
      <x:c r="A371" s="62" t="str">
        <x:v>ABAP-367</x:v>
      </x:c>
      <x:c r="B371" s="62" t="str">
        <x:v>22 | RAP &amp; Modern ABAP Services</x:v>
      </x:c>
      <x:c r="C371" s="62" t="str">
        <x:v>RAP &amp; Modern ABAP Services</x:v>
      </x:c>
      <x:c r="D371" s="62" t="str">
        <x:v>Side effects and UI behavior refresh</x:v>
      </x:c>
      <x:c r="E371" s="62" t="str">
        <x:v>For “Side effects and UI behavior refresh”: explain its purpose and key rules, demonstrate a small example or trace, handle one common edge case/failure, and name a relevant best practice or trade-off.</x:v>
      </x:c>
      <x:c r="F371" s="62" t="str">
        <x:v>Modern</x:v>
      </x:c>
      <x:c r="G371" s="62" t="str">
        <x:v>P2</x:v>
      </x:c>
      <x:c r="H371" s="62" t="str">
        <x:v>Not Started</x:v>
      </x:c>
      <x:c r="I371" s="62"/>
      <x:c r="J371" s="66"/>
      <x:c r="K371" s="62" t="str"/>
      <x:c r="L371" s="62" t="str">
        <x:v>RAP tutorials (Resources)</x:v>
      </x:c>
    </x:row>
    <x:row r="372" ht="40" customHeight="1">
      <x:c r="A372" s="62" t="str">
        <x:v>ABAP-368</x:v>
      </x:c>
      <x:c r="B372" s="62" t="str">
        <x:v>22 | RAP &amp; Modern ABAP Services</x:v>
      </x:c>
      <x:c r="C372" s="62" t="str">
        <x:v>RAP &amp; Modern ABAP Services</x:v>
      </x:c>
      <x:c r="D372" s="62" t="str">
        <x:v>Media/attachment handling and streams in RAP</x:v>
      </x:c>
      <x:c r="E372" s="62" t="str">
        <x:v>For “Media/attachment handling and streams in RAP”: explain its purpose and key rules, demonstrate a small example or trace, handle one common edge case/failure, and name a relevant best practice or trade-off.</x:v>
      </x:c>
      <x:c r="F372" s="62" t="str">
        <x:v>Modern</x:v>
      </x:c>
      <x:c r="G372" s="62" t="str">
        <x:v>P2</x:v>
      </x:c>
      <x:c r="H372" s="62" t="str">
        <x:v>Not Started</x:v>
      </x:c>
      <x:c r="I372" s="62"/>
      <x:c r="J372" s="66"/>
      <x:c r="K372" s="62" t="str"/>
      <x:c r="L372" s="62" t="str">
        <x:v>RAP tutorials (Resources)</x:v>
      </x:c>
    </x:row>
    <x:row r="373" ht="40" customHeight="1">
      <x:c r="A373" s="62" t="str">
        <x:v>ABAP-369</x:v>
      </x:c>
      <x:c r="B373" s="62" t="str">
        <x:v>22 | RAP &amp; Modern ABAP Services</x:v>
      </x:c>
      <x:c r="C373" s="62" t="str">
        <x:v>RAP &amp; Modern ABAP Services</x:v>
      </x:c>
      <x:c r="D373" s="62" t="str">
        <x:v>Business events and event-driven integration concepts</x:v>
      </x:c>
      <x:c r="E373" s="62" t="str">
        <x:v>For “Business events and event-driven integration concepts”: explain its purpose and key rules, demonstrate a small example or trace, handle one common edge case/failure, and name a relevant best practice or trade-off.</x:v>
      </x:c>
      <x:c r="F373" s="62" t="str">
        <x:v>Specialized</x:v>
      </x:c>
      <x:c r="G373" s="62" t="str">
        <x:v>P3</x:v>
      </x:c>
      <x:c r="H373" s="62" t="str">
        <x:v>Not Started</x:v>
      </x:c>
      <x:c r="I373" s="62"/>
      <x:c r="J373" s="66"/>
      <x:c r="K373" s="62" t="str"/>
      <x:c r="L373" s="62" t="str"/>
    </x:row>
    <x:row r="374" ht="40" customHeight="1">
      <x:c r="A374" s="62" t="str">
        <x:v>ABAP-370</x:v>
      </x:c>
      <x:c r="B374" s="62" t="str">
        <x:v>22 | RAP &amp; Modern ABAP Services</x:v>
      </x:c>
      <x:c r="C374" s="62" t="str">
        <x:v>RAP &amp; Modern ABAP Services</x:v>
      </x:c>
      <x:c r="D374" s="62" t="str">
        <x:v>ABAP Unit tests for RAP business objects</x:v>
      </x:c>
      <x:c r="E374" s="62" t="str">
        <x:v>For “ABAP Unit tests for RAP business objects”: explain its purpose and key rules, demonstrate a small example or trace, handle one common edge case/failure, and name a relevant best practice or trade-off.</x:v>
      </x:c>
      <x:c r="F374" s="62" t="str">
        <x:v>Modern</x:v>
      </x:c>
      <x:c r="G374" s="62" t="str">
        <x:v>P1</x:v>
      </x:c>
      <x:c r="H374" s="62" t="str">
        <x:v>Not Started</x:v>
      </x:c>
      <x:c r="I374" s="62"/>
      <x:c r="J374" s="66"/>
      <x:c r="K374" s="62" t="str"/>
      <x:c r="L374" s="62" t="str">
        <x:v>RAP tutorials (Resources)</x:v>
      </x:c>
    </x:row>
    <x:row r="375" ht="40" customHeight="1">
      <x:c r="A375" s="62" t="str">
        <x:v>ABAP-371</x:v>
      </x:c>
      <x:c r="B375" s="62" t="str">
        <x:v>22 | RAP &amp; Modern ABAP Services</x:v>
      </x:c>
      <x:c r="C375" s="62" t="str">
        <x:v>RAP &amp; Modern ABAP Services</x:v>
      </x:c>
      <x:c r="D375" s="62" t="str">
        <x:v>RAP troubleshooting, feature checks and authorization issues</x:v>
      </x:c>
      <x:c r="E375" s="62" t="str">
        <x:v>For “RAP troubleshooting, feature checks and authorization issues”: explain its purpose and key rules, demonstrate a small example or trace, handle one common edge case/failure, and name a relevant best practice or trade-off.</x:v>
      </x:c>
      <x:c r="F375" s="62" t="str">
        <x:v>Modern</x:v>
      </x:c>
      <x:c r="G375" s="62" t="str">
        <x:v>P1</x:v>
      </x:c>
      <x:c r="H375" s="62" t="str">
        <x:v>Not Started</x:v>
      </x:c>
      <x:c r="I375" s="62"/>
      <x:c r="J375" s="66"/>
      <x:c r="K375" s="62" t="str"/>
      <x:c r="L375" s="62" t="str">
        <x:v>RAP tutorials (Resources)</x:v>
      </x:c>
    </x:row>
    <x:row r="376" ht="40" customHeight="1">
      <x:c r="A376" s="62" t="str">
        <x:v>ABAP-372</x:v>
      </x:c>
      <x:c r="B376" s="62" t="str">
        <x:v>23 | ABAP Cloud &amp; Clean Core</x:v>
      </x:c>
      <x:c r="C376" s="62" t="str">
        <x:v>ABAP Cloud &amp; Clean Core</x:v>
      </x:c>
      <x:c r="D376" s="62" t="str">
        <x:v>ABAP Cloud language version and syntax restrictions</x:v>
      </x:c>
      <x:c r="E376" s="62" t="str">
        <x:v>For “ABAP Cloud language version and syntax restrictions”: explain its purpose and key rules, demonstrate a small example or trace, handle one common edge case/failure, and name a relevant best practice or trade-off.</x:v>
      </x:c>
      <x:c r="F376" s="62" t="str">
        <x:v>Modern</x:v>
      </x:c>
      <x:c r="G376" s="62" t="str">
        <x:v>P1</x:v>
      </x:c>
      <x:c r="H376" s="62" t="str">
        <x:v>Not Started</x:v>
      </x:c>
      <x:c r="I376" s="62"/>
      <x:c r="J376" s="66"/>
      <x:c r="K376" s="62" t="str"/>
      <x:c r="L376" s="62" t="str">
        <x:v>ABAP Cloud guide (Resources)</x:v>
      </x:c>
    </x:row>
    <x:row r="377" ht="40" customHeight="1">
      <x:c r="A377" s="62" t="str">
        <x:v>ABAP-373</x:v>
      </x:c>
      <x:c r="B377" s="62" t="str">
        <x:v>23 | ABAP Cloud &amp; Clean Core</x:v>
      </x:c>
      <x:c r="C377" s="62" t="str">
        <x:v>ABAP Cloud &amp; Clean Core</x:v>
      </x:c>
      <x:c r="D377" s="62" t="str">
        <x:v>Released APIs and release contracts (e.g. C1)</x:v>
      </x:c>
      <x:c r="E377" s="62" t="str">
        <x:v>For “Released APIs and release contracts (e.g. C1)”: explain its purpose and key rules, demonstrate a small example or trace, handle one common edge case/failure, and name a relevant best practice or trade-off.</x:v>
      </x:c>
      <x:c r="F377" s="62" t="str">
        <x:v>Modern</x:v>
      </x:c>
      <x:c r="G377" s="62" t="str">
        <x:v>P1</x:v>
      </x:c>
      <x:c r="H377" s="62" t="str">
        <x:v>Not Started</x:v>
      </x:c>
      <x:c r="I377" s="62"/>
      <x:c r="J377" s="66"/>
      <x:c r="K377" s="62" t="str"/>
      <x:c r="L377" s="62" t="str">
        <x:v>ABAP Cloud guide (Resources)</x:v>
      </x:c>
    </x:row>
    <x:row r="378" ht="40" customHeight="1">
      <x:c r="A378" s="62" t="str">
        <x:v>ABAP-374</x:v>
      </x:c>
      <x:c r="B378" s="62" t="str">
        <x:v>23 | ABAP Cloud &amp; Clean Core</x:v>
      </x:c>
      <x:c r="C378" s="62" t="str">
        <x:v>ABAP Cloud &amp; Clean Core</x:v>
      </x:c>
      <x:c r="D378" s="62" t="str">
        <x:v>ABAP Test Cockpit checks for cloud readiness</x:v>
      </x:c>
      <x:c r="E378" s="62" t="str">
        <x:v>For “ABAP Test Cockpit checks for cloud readiness”: explain its purpose and key rules, demonstrate a small example or trace, handle one common edge case/failure, and name a relevant best practice or trade-off.</x:v>
      </x:c>
      <x:c r="F378" s="62" t="str">
        <x:v>Modern</x:v>
      </x:c>
      <x:c r="G378" s="62" t="str">
        <x:v>P1</x:v>
      </x:c>
      <x:c r="H378" s="62" t="str">
        <x:v>Not Started</x:v>
      </x:c>
      <x:c r="I378" s="62"/>
      <x:c r="J378" s="66"/>
      <x:c r="K378" s="62" t="str"/>
      <x:c r="L378" s="62" t="str">
        <x:v>ABAP Unit resources (Resources)</x:v>
      </x:c>
    </x:row>
    <x:row r="379" ht="40" customHeight="1">
      <x:c r="A379" s="62" t="str">
        <x:v>ABAP-375</x:v>
      </x:c>
      <x:c r="B379" s="62" t="str">
        <x:v>23 | ABAP Cloud &amp; Clean Core</x:v>
      </x:c>
      <x:c r="C379" s="62" t="str">
        <x:v>ABAP Cloud &amp; Clean Core</x:v>
      </x:c>
      <x:c r="D379" s="62" t="str">
        <x:v>Clean Core principles and upgrade stability</x:v>
      </x:c>
      <x:c r="E379" s="62" t="str">
        <x:v>For “Clean Core principles and upgrade stability”: explain its purpose and key rules, demonstrate a small example or trace, handle one common edge case/failure, and name a relevant best practice or trade-off.</x:v>
      </x:c>
      <x:c r="F379" s="62" t="str">
        <x:v>Modern</x:v>
      </x:c>
      <x:c r="G379" s="62" t="str">
        <x:v>P1</x:v>
      </x:c>
      <x:c r="H379" s="62" t="str">
        <x:v>Not Started</x:v>
      </x:c>
      <x:c r="I379" s="62"/>
      <x:c r="J379" s="66"/>
      <x:c r="K379" s="62" t="str"/>
      <x:c r="L379" s="62" t="str">
        <x:v>ABAP Cloud guide (Resources)</x:v>
      </x:c>
    </x:row>
    <x:row r="380" ht="40" customHeight="1">
      <x:c r="A380" s="62" t="str">
        <x:v>ABAP-376</x:v>
      </x:c>
      <x:c r="B380" s="62" t="str">
        <x:v>23 | ABAP Cloud &amp; Clean Core</x:v>
      </x:c>
      <x:c r="C380" s="62" t="str">
        <x:v>ABAP Cloud &amp; Clean Core</x:v>
      </x:c>
      <x:c r="D380" s="62" t="str">
        <x:v>Classic ABAP vs ABAP Cloud development model</x:v>
      </x:c>
      <x:c r="E380" s="62" t="str">
        <x:v>For “Classic ABAP vs ABAP Cloud development model”: explain its purpose and key rules, demonstrate a small example or trace, handle one common edge case/failure, and name a relevant best practice or trade-off.</x:v>
      </x:c>
      <x:c r="F380" s="62" t="str">
        <x:v>Modern</x:v>
      </x:c>
      <x:c r="G380" s="62" t="str">
        <x:v>P1</x:v>
      </x:c>
      <x:c r="H380" s="62" t="str">
        <x:v>Not Started</x:v>
      </x:c>
      <x:c r="I380" s="62"/>
      <x:c r="J380" s="66"/>
      <x:c r="K380" s="62" t="str"/>
      <x:c r="L380" s="62" t="str">
        <x:v>ABAP Cloud guide (Resources)</x:v>
      </x:c>
    </x:row>
    <x:row r="381" ht="40" customHeight="1">
      <x:c r="A381" s="62" t="str">
        <x:v>ABAP-377</x:v>
      </x:c>
      <x:c r="B381" s="62" t="str">
        <x:v>23 | ABAP Cloud &amp; Clean Core</x:v>
      </x:c>
      <x:c r="C381" s="62" t="str">
        <x:v>ABAP Cloud &amp; Clean Core</x:v>
      </x:c>
      <x:c r="D381" s="62" t="str">
        <x:v>Developer extensibility vs key-user extensibility</x:v>
      </x:c>
      <x:c r="E381" s="62" t="str">
        <x:v>For “Developer extensibility vs key-user extensibility”: explain its purpose and key rules, demonstrate a small example or trace, handle one common edge case/failure, and name a relevant best practice or trade-off.</x:v>
      </x:c>
      <x:c r="F381" s="62" t="str">
        <x:v>Modern</x:v>
      </x:c>
      <x:c r="G381" s="62" t="str">
        <x:v>P2</x:v>
      </x:c>
      <x:c r="H381" s="62" t="str">
        <x:v>Not Started</x:v>
      </x:c>
      <x:c r="I381" s="62"/>
      <x:c r="J381" s="66"/>
      <x:c r="K381" s="62" t="str"/>
      <x:c r="L381" s="62" t="str"/>
    </x:row>
    <x:row r="382" ht="40" customHeight="1">
      <x:c r="A382" s="62" t="str">
        <x:v>ABAP-378</x:v>
      </x:c>
      <x:c r="B382" s="62" t="str">
        <x:v>23 | ABAP Cloud &amp; Clean Core</x:v>
      </x:c>
      <x:c r="C382" s="62" t="str">
        <x:v>ABAP Cloud &amp; Clean Core</x:v>
      </x:c>
      <x:c r="D382" s="62" t="str">
        <x:v>Side-by-side extensions on SAP BTP ABAP Environment</x:v>
      </x:c>
      <x:c r="E382" s="62" t="str">
        <x:v>For “Side-by-side extensions on SAP BTP ABAP Environment”: explain its purpose and key rules, demonstrate a small example or trace, handle one common edge case/failure, and name a relevant best practice or trade-off.</x:v>
      </x:c>
      <x:c r="F382" s="62" t="str">
        <x:v>Modern</x:v>
      </x:c>
      <x:c r="G382" s="62" t="str">
        <x:v>P2</x:v>
      </x:c>
      <x:c r="H382" s="62" t="str">
        <x:v>Not Started</x:v>
      </x:c>
      <x:c r="I382" s="62"/>
      <x:c r="J382" s="66"/>
      <x:c r="K382" s="62" t="str"/>
      <x:c r="L382" s="62" t="str">
        <x:v>Core ABAP learning journey (Resources)</x:v>
      </x:c>
    </x:row>
    <x:row r="383" ht="40" customHeight="1">
      <x:c r="A383" s="62" t="str">
        <x:v>ABAP-379</x:v>
      </x:c>
      <x:c r="B383" s="62" t="str">
        <x:v>23 | ABAP Cloud &amp; Clean Core</x:v>
      </x:c>
      <x:c r="C383" s="62" t="str">
        <x:v>ABAP Cloud &amp; Clean Core</x:v>
      </x:c>
      <x:c r="D383" s="62" t="str">
        <x:v>Package setup for cloud-ready objects</x:v>
      </x:c>
      <x:c r="E383" s="62" t="str">
        <x:v>For “Package setup for cloud-ready objects”: explain its purpose and key rules, demonstrate a small example or trace, handle one common edge case/failure, and name a relevant best practice or trade-off.</x:v>
      </x:c>
      <x:c r="F383" s="62" t="str">
        <x:v>Modern</x:v>
      </x:c>
      <x:c r="G383" s="62" t="str">
        <x:v>P2</x:v>
      </x:c>
      <x:c r="H383" s="62" t="str">
        <x:v>Not Started</x:v>
      </x:c>
      <x:c r="I383" s="62"/>
      <x:c r="J383" s="66"/>
      <x:c r="K383" s="62" t="str"/>
      <x:c r="L383" s="62" t="str"/>
    </x:row>
    <x:row r="384" ht="40" customHeight="1">
      <x:c r="A384" s="62" t="str">
        <x:v>ABAP-380</x:v>
      </x:c>
      <x:c r="B384" s="62" t="str">
        <x:v>23 | ABAP Cloud &amp; Clean Core</x:v>
      </x:c>
      <x:c r="C384" s="62" t="str">
        <x:v>ABAP Cloud &amp; Clean Core</x:v>
      </x:c>
      <x:c r="D384" s="62" t="str">
        <x:v>Wrappers around classic BAPIs or function modules</x:v>
      </x:c>
      <x:c r="E384" s="62" t="str">
        <x:v>For “Wrappers around classic BAPIs or function modules”: explain its purpose and key rules, demonstrate a small example or trace, handle one common edge case/failure, and name a relevant best practice or trade-off.</x:v>
      </x:c>
      <x:c r="F384" s="62" t="str">
        <x:v>Modern</x:v>
      </x:c>
      <x:c r="G384" s="62" t="str">
        <x:v>P2</x:v>
      </x:c>
      <x:c r="H384" s="62" t="str">
        <x:v>Not Started</x:v>
      </x:c>
      <x:c r="I384" s="62"/>
      <x:c r="J384" s="66"/>
      <x:c r="K384" s="62" t="str"/>
      <x:c r="L384" s="62" t="str">
        <x:v>RAP tutorials (Resources)</x:v>
      </x:c>
    </x:row>
    <x:row r="385" ht="40" customHeight="1">
      <x:c r="A385" s="62" t="str">
        <x:v>ABAP-381</x:v>
      </x:c>
      <x:c r="B385" s="62" t="str">
        <x:v>23 | ABAP Cloud &amp; Clean Core</x:v>
      </x:c>
      <x:c r="C385" s="62" t="str">
        <x:v>ABAP Cloud &amp; Clean Core</x:v>
      </x:c>
      <x:c r="D385" s="62" t="str">
        <x:v>Replacing direct table access with released CDS/APIs</x:v>
      </x:c>
      <x:c r="E385" s="62" t="str">
        <x:v>For “Replacing direct table access with released CDS/APIs”: explain its purpose and key rules, demonstrate a small example or trace, handle one common edge case/failure, and name a relevant best practice or trade-off.</x:v>
      </x:c>
      <x:c r="F385" s="62" t="str">
        <x:v>Modern</x:v>
      </x:c>
      <x:c r="G385" s="62" t="str">
        <x:v>P1</x:v>
      </x:c>
      <x:c r="H385" s="62" t="str">
        <x:v>Not Started</x:v>
      </x:c>
      <x:c r="I385" s="62"/>
      <x:c r="J385" s="66"/>
      <x:c r="K385" s="62" t="str"/>
      <x:c r="L385" s="62" t="str">
        <x:v>CDS documentation (Resources)</x:v>
      </x:c>
    </x:row>
    <x:row r="386" ht="40" customHeight="1">
      <x:c r="A386" s="62" t="str">
        <x:v>ABAP-382</x:v>
      </x:c>
      <x:c r="B386" s="62" t="str">
        <x:v>23 | ABAP Cloud &amp; Clean Core</x:v>
      </x:c>
      <x:c r="C386" s="62" t="str">
        <x:v>ABAP Cloud &amp; Clean Core</x:v>
      </x:c>
      <x:c r="D386" s="62" t="str">
        <x:v>Extension points, BAdIs and released enhancement options</x:v>
      </x:c>
      <x:c r="E386" s="62" t="str">
        <x:v>For “Extension points, BAdIs and released enhancement options”: explain its purpose and key rules, demonstrate a small example or trace, handle one common edge case/failure, and name a relevant best practice or trade-off.</x:v>
      </x:c>
      <x:c r="F386" s="62" t="str">
        <x:v>Modern</x:v>
      </x:c>
      <x:c r="G386" s="62" t="str">
        <x:v>P1</x:v>
      </x:c>
      <x:c r="H386" s="62" t="str">
        <x:v>Not Started</x:v>
      </x:c>
      <x:c r="I386" s="62"/>
      <x:c r="J386" s="66"/>
      <x:c r="K386" s="62" t="str"/>
      <x:c r="L386" s="62" t="str"/>
    </x:row>
    <x:row r="387" ht="40" customHeight="1">
      <x:c r="A387" s="62" t="str">
        <x:v>ABAP-383</x:v>
      </x:c>
      <x:c r="B387" s="62" t="str">
        <x:v>23 | ABAP Cloud &amp; Clean Core</x:v>
      </x:c>
      <x:c r="C387" s="62" t="str">
        <x:v>ABAP Cloud &amp; Clean Core</x:v>
      </x:c>
      <x:c r="D387" s="62" t="str">
        <x:v>Restricted language features and migration errors</x:v>
      </x:c>
      <x:c r="E387" s="62" t="str">
        <x:v>For “Restricted language features and migration errors”: explain its purpose and key rules, demonstrate a small example or trace, handle one common edge case/failure, and name a relevant best practice or trade-off.</x:v>
      </x:c>
      <x:c r="F387" s="62" t="str">
        <x:v>Modern</x:v>
      </x:c>
      <x:c r="G387" s="62" t="str">
        <x:v>P2</x:v>
      </x:c>
      <x:c r="H387" s="62" t="str">
        <x:v>Not Started</x:v>
      </x:c>
      <x:c r="I387" s="62"/>
      <x:c r="J387" s="66"/>
      <x:c r="K387" s="62" t="str"/>
      <x:c r="L387" s="62" t="str"/>
    </x:row>
    <x:row r="388" ht="40" customHeight="1">
      <x:c r="A388" s="62" t="str">
        <x:v>ABAP-384</x:v>
      </x:c>
      <x:c r="B388" s="62" t="str">
        <x:v>23 | ABAP Cloud &amp; Clean Core</x:v>
      </x:c>
      <x:c r="C388" s="62" t="str">
        <x:v>ABAP Cloud &amp; Clean Core</x:v>
      </x:c>
      <x:c r="D388" s="62" t="str">
        <x:v>Cloud transport and lifecycle overview</x:v>
      </x:c>
      <x:c r="E388" s="62" t="str">
        <x:v>For “Cloud transport and lifecycle overview”: explain its purpose and key rules, demonstrate a small example or trace, handle one common edge case/failure, and name a relevant best practice or trade-off.</x:v>
      </x:c>
      <x:c r="F388" s="62" t="str">
        <x:v>Modern</x:v>
      </x:c>
      <x:c r="G388" s="62" t="str">
        <x:v>P2</x:v>
      </x:c>
      <x:c r="H388" s="62" t="str">
        <x:v>Not Started</x:v>
      </x:c>
      <x:c r="I388" s="62"/>
      <x:c r="J388" s="66"/>
      <x:c r="K388" s="62" t="str"/>
      <x:c r="L388" s="62" t="str"/>
    </x:row>
    <x:row r="389" ht="40" customHeight="1">
      <x:c r="A389" s="62" t="str">
        <x:v>ABAP-385</x:v>
      </x:c>
      <x:c r="B389" s="62" t="str">
        <x:v>24 | S/4HANA &amp; Functional Data Context</x:v>
      </x:c>
      <x:c r="C389" s="62" t="str">
        <x:v>S/4HANA &amp; Functional Data Context</x:v>
      </x:c>
      <x:c r="D389" s="62" t="str">
        <x:v>S/4HANA simplification and custom-code impact analysis</x:v>
      </x:c>
      <x:c r="E389" s="62" t="str">
        <x:v>For “S/4HANA simplification and custom-code impact analysis”: explain its purpose and key rules, demonstrate a small example or trace, handle one common edge case/failure, and name a relevant best practice or trade-off.</x:v>
      </x:c>
      <x:c r="F389" s="62" t="str">
        <x:v>Core</x:v>
      </x:c>
      <x:c r="G389" s="62" t="str">
        <x:v>P1</x:v>
      </x:c>
      <x:c r="H389" s="62" t="str">
        <x:v>Not Started</x:v>
      </x:c>
      <x:c r="I389" s="62"/>
      <x:c r="J389" s="66"/>
      <x:c r="K389" s="62" t="str"/>
      <x:c r="L389" s="62" t="str"/>
    </x:row>
    <x:row r="390" ht="40" customHeight="1">
      <x:c r="A390" s="62" t="str">
        <x:v>ABAP-386</x:v>
      </x:c>
      <x:c r="B390" s="62" t="str">
        <x:v>24 | S/4HANA &amp; Functional Data Context</x:v>
      </x:c>
      <x:c r="C390" s="62" t="str">
        <x:v>S/4HANA &amp; Functional Data Context</x:v>
      </x:c>
      <x:c r="D390" s="62" t="str">
        <x:v>Business Partner approach for customer/vendor master data</x:v>
      </x:c>
      <x:c r="E390" s="62" t="str">
        <x:v>For “Business Partner approach for customer/vendor master data”: explain its purpose and key rules, demonstrate a small example or trace, handle one common edge case/failure, and name a relevant best practice or trade-off.</x:v>
      </x:c>
      <x:c r="F390" s="62" t="str">
        <x:v>Core</x:v>
      </x:c>
      <x:c r="G390" s="62" t="str">
        <x:v>P1</x:v>
      </x:c>
      <x:c r="H390" s="62" t="str">
        <x:v>Not Started</x:v>
      </x:c>
      <x:c r="I390" s="62"/>
      <x:c r="J390" s="66"/>
      <x:c r="K390" s="62" t="str"/>
      <x:c r="L390" s="62" t="str"/>
    </x:row>
    <x:row r="391" ht="40" customHeight="1">
      <x:c r="A391" s="62" t="str">
        <x:v>ABAP-387</x:v>
      </x:c>
      <x:c r="B391" s="62" t="str">
        <x:v>24 | S/4HANA &amp; Functional Data Context</x:v>
      </x:c>
      <x:c r="C391" s="62" t="str">
        <x:v>S/4HANA &amp; Functional Data Context</x:v>
      </x:c>
      <x:c r="D391" s="62" t="str">
        <x:v>Universal Journal (ACDOCA) and FI data awareness</x:v>
      </x:c>
      <x:c r="E391" s="62" t="str">
        <x:v>For “Universal Journal (ACDOCA) and FI data awareness”: explain its purpose and key rules, demonstrate a small example or trace, handle one common edge case/failure, and name a relevant best practice or trade-off.</x:v>
      </x:c>
      <x:c r="F391" s="62" t="str">
        <x:v>Core</x:v>
      </x:c>
      <x:c r="G391" s="62" t="str">
        <x:v>P2</x:v>
      </x:c>
      <x:c r="H391" s="62" t="str">
        <x:v>Not Started</x:v>
      </x:c>
      <x:c r="I391" s="62"/>
      <x:c r="J391" s="66"/>
      <x:c r="K391" s="62" t="str"/>
      <x:c r="L391" s="62" t="str"/>
    </x:row>
    <x:row r="392" ht="40" customHeight="1">
      <x:c r="A392" s="62" t="str">
        <x:v>ABAP-388</x:v>
      </x:c>
      <x:c r="B392" s="62" t="str">
        <x:v>24 | S/4HANA &amp; Functional Data Context</x:v>
      </x:c>
      <x:c r="C392" s="62" t="str">
        <x:v>S/4HANA &amp; Functional Data Context</x:v>
      </x:c>
      <x:c r="D392" s="62" t="str">
        <x:v>MATDOC and inventory data-model awareness</x:v>
      </x:c>
      <x:c r="E392" s="62" t="str">
        <x:v>For “MATDOC and inventory data-model awareness”: explain its purpose and key rules, demonstrate a small example or trace, handle one common edge case/failure, and name a relevant best practice or trade-off.</x:v>
      </x:c>
      <x:c r="F392" s="62" t="str">
        <x:v>Core</x:v>
      </x:c>
      <x:c r="G392" s="62" t="str">
        <x:v>P2</x:v>
      </x:c>
      <x:c r="H392" s="62" t="str">
        <x:v>Not Started</x:v>
      </x:c>
      <x:c r="I392" s="62"/>
      <x:c r="J392" s="66"/>
      <x:c r="K392" s="62" t="str"/>
      <x:c r="L392" s="62" t="str"/>
    </x:row>
    <x:row r="393" ht="40" customHeight="1">
      <x:c r="A393" s="62" t="str">
        <x:v>ABAP-389</x:v>
      </x:c>
      <x:c r="B393" s="62" t="str">
        <x:v>24 | S/4HANA &amp; Functional Data Context</x:v>
      </x:c>
      <x:c r="C393" s="62" t="str">
        <x:v>S/4HANA &amp; Functional Data Context</x:v>
      </x:c>
      <x:c r="D393" s="62" t="str">
        <x:v>MM basics: PR, PO, goods movement and stock</x:v>
      </x:c>
      <x:c r="E393" s="62" t="str">
        <x:v>For “MM basics: PR, PO, goods movement and stock”: explain its purpose and key rules, demonstrate a small example or trace, handle one common edge case/failure, and name a relevant best practice or trade-off.</x:v>
      </x:c>
      <x:c r="F393" s="62" t="str">
        <x:v>Core</x:v>
      </x:c>
      <x:c r="G393" s="62" t="str">
        <x:v>P1</x:v>
      </x:c>
      <x:c r="H393" s="62" t="str">
        <x:v>Not Started</x:v>
      </x:c>
      <x:c r="I393" s="62"/>
      <x:c r="J393" s="66"/>
      <x:c r="K393" s="62" t="str"/>
      <x:c r="L393" s="62" t="str"/>
    </x:row>
    <x:row r="394" ht="40" customHeight="1">
      <x:c r="A394" s="62" t="str">
        <x:v>ABAP-390</x:v>
      </x:c>
      <x:c r="B394" s="62" t="str">
        <x:v>24 | S/4HANA &amp; Functional Data Context</x:v>
      </x:c>
      <x:c r="C394" s="62" t="str">
        <x:v>S/4HANA &amp; Functional Data Context</x:v>
      </x:c>
      <x:c r="D394" s="62" t="str">
        <x:v>SD basics: sales order, delivery, billing and partner functions</x:v>
      </x:c>
      <x:c r="E394" s="62" t="str">
        <x:v>For “SD basics: sales order, delivery, billing and partner functions”: explain its purpose and key rules, demonstrate a small example or trace, handle one common edge case/failure, and name a relevant best practice or trade-off.</x:v>
      </x:c>
      <x:c r="F394" s="62" t="str">
        <x:v>Core</x:v>
      </x:c>
      <x:c r="G394" s="62" t="str">
        <x:v>P1</x:v>
      </x:c>
      <x:c r="H394" s="62" t="str">
        <x:v>Not Started</x:v>
      </x:c>
      <x:c r="I394" s="62"/>
      <x:c r="J394" s="66"/>
      <x:c r="K394" s="62" t="str"/>
      <x:c r="L394" s="62" t="str"/>
    </x:row>
    <x:row r="395" ht="40" customHeight="1">
      <x:c r="A395" s="62" t="str">
        <x:v>ABAP-391</x:v>
      </x:c>
      <x:c r="B395" s="62" t="str">
        <x:v>24 | S/4HANA &amp; Functional Data Context</x:v>
      </x:c>
      <x:c r="C395" s="62" t="str">
        <x:v>S/4HANA &amp; Functional Data Context</x:v>
      </x:c>
      <x:c r="D395" s="62" t="str">
        <x:v>PM basics: equipment, functional location, order and measuring point</x:v>
      </x:c>
      <x:c r="E395" s="62" t="str">
        <x:v>For “PM basics: equipment, functional location, order and measuring point”: explain its purpose and key rules, demonstrate a small example or trace, handle one common edge case/failure, and name a relevant best practice or trade-off.</x:v>
      </x:c>
      <x:c r="F395" s="62" t="str">
        <x:v>Core</x:v>
      </x:c>
      <x:c r="G395" s="62" t="str">
        <x:v>P1</x:v>
      </x:c>
      <x:c r="H395" s="62" t="str">
        <x:v>Not Started</x:v>
      </x:c>
      <x:c r="I395" s="62"/>
      <x:c r="J395" s="66"/>
      <x:c r="K395" s="62" t="str"/>
      <x:c r="L395" s="62" t="str"/>
    </x:row>
    <x:row r="396" ht="40" customHeight="1">
      <x:c r="A396" s="62" t="str">
        <x:v>ABAP-392</x:v>
      </x:c>
      <x:c r="B396" s="62" t="str">
        <x:v>24 | S/4HANA &amp; Functional Data Context</x:v>
      </x:c>
      <x:c r="C396" s="62" t="str">
        <x:v>S/4HANA &amp; Functional Data Context</x:v>
      </x:c>
      <x:c r="D396" s="62" t="str">
        <x:v>FI basics: company code, vendor/customer and accounting document</x:v>
      </x:c>
      <x:c r="E396" s="62" t="str">
        <x:v>For “FI basics: company code, vendor/customer and accounting document”: explain its purpose and key rules, demonstrate a small example or trace, handle one common edge case/failure, and name a relevant best practice or trade-off.</x:v>
      </x:c>
      <x:c r="F396" s="62" t="str">
        <x:v>Core</x:v>
      </x:c>
      <x:c r="G396" s="62" t="str">
        <x:v>P2</x:v>
      </x:c>
      <x:c r="H396" s="62" t="str">
        <x:v>Not Started</x:v>
      </x:c>
      <x:c r="I396" s="62"/>
      <x:c r="J396" s="66"/>
      <x:c r="K396" s="62" t="str"/>
      <x:c r="L396" s="62" t="str"/>
    </x:row>
    <x:row r="397" ht="40" customHeight="1">
      <x:c r="A397" s="62" t="str">
        <x:v>ABAP-393</x:v>
      </x:c>
      <x:c r="B397" s="62" t="str">
        <x:v>24 | S/4HANA &amp; Functional Data Context</x:v>
      </x:c>
      <x:c r="C397" s="62" t="str">
        <x:v>S/4HANA &amp; Functional Data Context</x:v>
      </x:c>
      <x:c r="D397" s="62" t="str">
        <x:v>Standard BAPIs/CDS views/APIs vs direct table reads</x:v>
      </x:c>
      <x:c r="E397" s="62" t="str">
        <x:v>For “Standard BAPIs/CDS views/APIs vs direct table reads”: explain its purpose and key rules, demonstrate a small example or trace, handle one common edge case/failure, and name a relevant best practice or trade-off.</x:v>
      </x:c>
      <x:c r="F397" s="62" t="str">
        <x:v>Core</x:v>
      </x:c>
      <x:c r="G397" s="62" t="str">
        <x:v>P1</x:v>
      </x:c>
      <x:c r="H397" s="62" t="str">
        <x:v>Not Started</x:v>
      </x:c>
      <x:c r="I397" s="62"/>
      <x:c r="J397" s="66"/>
      <x:c r="K397" s="62" t="str"/>
      <x:c r="L397" s="62" t="str">
        <x:v>CDS documentation (Resources)</x:v>
      </x:c>
    </x:row>
    <x:row r="398" ht="40" customHeight="1">
      <x:c r="A398" s="62" t="str">
        <x:v>ABAP-394</x:v>
      </x:c>
      <x:c r="B398" s="62" t="str">
        <x:v>24 | S/4HANA &amp; Functional Data Context</x:v>
      </x:c>
      <x:c r="C398" s="62" t="str">
        <x:v>S/4HANA &amp; Functional Data Context</x:v>
      </x:c>
      <x:c r="D398" s="62" t="str">
        <x:v>Document flow, status fields and application transactions</x:v>
      </x:c>
      <x:c r="E398" s="62" t="str">
        <x:v>For “Document flow, status fields and application transactions”: explain its purpose and key rules, demonstrate a small example or trace, handle one common edge case/failure, and name a relevant best practice or trade-off.</x:v>
      </x:c>
      <x:c r="F398" s="62" t="str">
        <x:v>Core</x:v>
      </x:c>
      <x:c r="G398" s="62" t="str">
        <x:v>P1</x:v>
      </x:c>
      <x:c r="H398" s="62" t="str">
        <x:v>Not Started</x:v>
      </x:c>
      <x:c r="I398" s="62"/>
      <x:c r="J398" s="66"/>
      <x:c r="K398" s="62" t="str"/>
      <x:c r="L398" s="62" t="str"/>
    </x:row>
    <x:row r="399" ht="40" customHeight="1">
      <x:c r="A399" s="62" t="str">
        <x:v>ABAP-395</x:v>
      </x:c>
      <x:c r="B399" s="62" t="str">
        <x:v>24 | S/4HANA &amp; Functional Data Context</x:v>
      </x:c>
      <x:c r="C399" s="62" t="str">
        <x:v>S/4HANA &amp; Functional Data Context</x:v>
      </x:c>
      <x:c r="D399" s="62" t="str">
        <x:v>Organizational levels: company code, plant, storage location</x:v>
      </x:c>
      <x:c r="E399" s="62" t="str">
        <x:v>For “Organizational levels: company code, plant, storage location”: explain its purpose and key rules, demonstrate a small example or trace, handle one common edge case/failure, and name a relevant best practice or trade-off.</x:v>
      </x:c>
      <x:c r="F399" s="62" t="str">
        <x:v>Core</x:v>
      </x:c>
      <x:c r="G399" s="62" t="str">
        <x:v>P1</x:v>
      </x:c>
      <x:c r="H399" s="62" t="str">
        <x:v>Not Started</x:v>
      </x:c>
      <x:c r="I399" s="62"/>
      <x:c r="J399" s="66"/>
      <x:c r="K399" s="62" t="str"/>
      <x:c r="L399" s="62" t="str"/>
    </x:row>
    <x:row r="400" ht="40" customHeight="1">
      <x:c r="A400" s="62" t="str">
        <x:v>ABAP-396</x:v>
      </x:c>
      <x:c r="B400" s="62" t="str">
        <x:v>24 | S/4HANA &amp; Functional Data Context</x:v>
      </x:c>
      <x:c r="C400" s="62" t="str">
        <x:v>S/4HANA &amp; Functional Data Context</x:v>
      </x:c>
      <x:c r="D400" s="62" t="str">
        <x:v>Functional specification, business rules and edge cases</x:v>
      </x:c>
      <x:c r="E400" s="62" t="str">
        <x:v>For “Functional specification, business rules and edge cases”: explain its purpose and key rules, demonstrate a small example or trace, handle one common edge case/failure, and name a relevant best practice or trade-off.</x:v>
      </x:c>
      <x:c r="F400" s="62" t="str">
        <x:v>Core</x:v>
      </x:c>
      <x:c r="G400" s="62" t="str">
        <x:v>P1</x:v>
      </x:c>
      <x:c r="H400" s="62" t="str">
        <x:v>Not Started</x:v>
      </x:c>
      <x:c r="I400" s="62"/>
      <x:c r="J400" s="66"/>
      <x:c r="K400" s="62" t="str"/>
      <x:c r="L400" s="62" t="str"/>
    </x:row>
    <x:row r="401" ht="40" customHeight="1">
      <x:c r="A401" s="62" t="str">
        <x:v>ABAP-397</x:v>
      </x:c>
      <x:c r="B401" s="62" t="str">
        <x:v>25 | Security &amp; Authorization</x:v>
      </x:c>
      <x:c r="C401" s="62" t="str">
        <x:v>Security &amp; Authorization</x:v>
      </x:c>
      <x:c r="D401" s="62" t="str">
        <x:v>AUTHORITY-CHECK and sy-subrc handling</x:v>
      </x:c>
      <x:c r="E401" s="62" t="str">
        <x:v>For “AUTHORITY-CHECK and sy-subrc handling”: explain its purpose and key rules, demonstrate a small example or trace, handle one common edge case/failure, and name a relevant best practice or trade-off.</x:v>
      </x:c>
      <x:c r="F401" s="62" t="str">
        <x:v>Core</x:v>
      </x:c>
      <x:c r="G401" s="62" t="str">
        <x:v>P1</x:v>
      </x:c>
      <x:c r="H401" s="62" t="str">
        <x:v>Not Started</x:v>
      </x:c>
      <x:c r="I401" s="62"/>
      <x:c r="J401" s="66"/>
      <x:c r="K401" s="62" t="str"/>
      <x:c r="L401" s="62" t="str"/>
    </x:row>
    <x:row r="402" ht="40" customHeight="1">
      <x:c r="A402" s="62" t="str">
        <x:v>ABAP-398</x:v>
      </x:c>
      <x:c r="B402" s="62" t="str">
        <x:v>25 | Security &amp; Authorization</x:v>
      </x:c>
      <x:c r="C402" s="62" t="str">
        <x:v>Security &amp; Authorization</x:v>
      </x:c>
      <x:c r="D402" s="62" t="str">
        <x:v>Authorization objects, fields and activity values</x:v>
      </x:c>
      <x:c r="E402" s="62" t="str">
        <x:v>For “Authorization objects, fields and activity values”: explain its purpose and key rules, demonstrate a small example or trace, handle one common edge case/failure, and name a relevant best practice or trade-off.</x:v>
      </x:c>
      <x:c r="F402" s="62" t="str">
        <x:v>Core</x:v>
      </x:c>
      <x:c r="G402" s="62" t="str">
        <x:v>P1</x:v>
      </x:c>
      <x:c r="H402" s="62" t="str">
        <x:v>Not Started</x:v>
      </x:c>
      <x:c r="I402" s="62"/>
      <x:c r="J402" s="66"/>
      <x:c r="K402" s="62" t="str"/>
      <x:c r="L402" s="62" t="str"/>
    </x:row>
    <x:row r="403" ht="40" customHeight="1">
      <x:c r="A403" s="62" t="str">
        <x:v>ABAP-399</x:v>
      </x:c>
      <x:c r="B403" s="62" t="str">
        <x:v>25 | Security &amp; Authorization</x:v>
      </x:c>
      <x:c r="C403" s="62" t="str">
        <x:v>Security &amp; Authorization</x:v>
      </x:c>
      <x:c r="D403" s="62" t="str">
        <x:v>PFCG roles and SU24 proposal awareness</x:v>
      </x:c>
      <x:c r="E403" s="62" t="str">
        <x:v>For “PFCG roles and SU24 proposal awareness”: explain its purpose and key rules, demonstrate a small example or trace, handle one common edge case/failure, and name a relevant best practice or trade-off.</x:v>
      </x:c>
      <x:c r="F403" s="62" t="str">
        <x:v>Core</x:v>
      </x:c>
      <x:c r="G403" s="62" t="str">
        <x:v>P2</x:v>
      </x:c>
      <x:c r="H403" s="62" t="str">
        <x:v>Not Started</x:v>
      </x:c>
      <x:c r="I403" s="62"/>
      <x:c r="J403" s="66"/>
      <x:c r="K403" s="62" t="str"/>
      <x:c r="L403" s="62" t="str"/>
    </x:row>
    <x:row r="404" ht="40" customHeight="1">
      <x:c r="A404" s="62" t="str">
        <x:v>ABAP-400</x:v>
      </x:c>
      <x:c r="B404" s="62" t="str">
        <x:v>25 | Security &amp; Authorization</x:v>
      </x:c>
      <x:c r="C404" s="62" t="str">
        <x:v>Security &amp; Authorization</x:v>
      </x:c>
      <x:c r="D404" s="62" t="str">
        <x:v>Frontend hiding vs mandatory backend authorization</x:v>
      </x:c>
      <x:c r="E404" s="62" t="str">
        <x:v>For “Frontend hiding vs mandatory backend authorization”: explain its purpose and key rules, demonstrate a small example or trace, handle one common edge case/failure, and name a relevant best practice or trade-off.</x:v>
      </x:c>
      <x:c r="F404" s="62" t="str">
        <x:v>Core</x:v>
      </x:c>
      <x:c r="G404" s="62" t="str">
        <x:v>P1</x:v>
      </x:c>
      <x:c r="H404" s="62" t="str">
        <x:v>Not Started</x:v>
      </x:c>
      <x:c r="I404" s="62"/>
      <x:c r="J404" s="66"/>
      <x:c r="K404" s="62" t="str"/>
      <x:c r="L404" s="62" t="str"/>
    </x:row>
    <x:row r="405" ht="40" customHeight="1">
      <x:c r="A405" s="62" t="str">
        <x:v>ABAP-401</x:v>
      </x:c>
      <x:c r="B405" s="62" t="str">
        <x:v>25 | Security &amp; Authorization</x:v>
      </x:c>
      <x:c r="C405" s="62" t="str">
        <x:v>Security &amp; Authorization</x:v>
      </x:c>
      <x:c r="D405" s="62" t="str">
        <x:v>CDS DCL access controls</x:v>
      </x:c>
      <x:c r="E405" s="62" t="str">
        <x:v>For “CDS DCL access controls”: explain its purpose and key rules, demonstrate a small example or trace, handle one common edge case/failure, and name a relevant best practice or trade-off.</x:v>
      </x:c>
      <x:c r="F405" s="62" t="str">
        <x:v>Core</x:v>
      </x:c>
      <x:c r="G405" s="62" t="str">
        <x:v>P1</x:v>
      </x:c>
      <x:c r="H405" s="62" t="str">
        <x:v>Not Started</x:v>
      </x:c>
      <x:c r="I405" s="62"/>
      <x:c r="J405" s="66"/>
      <x:c r="K405" s="62" t="str"/>
      <x:c r="L405" s="62" t="str">
        <x:v>CDS documentation (Resources)</x:v>
      </x:c>
    </x:row>
    <x:row r="406" ht="40" customHeight="1">
      <x:c r="A406" s="62" t="str">
        <x:v>ABAP-402</x:v>
      </x:c>
      <x:c r="B406" s="62" t="str">
        <x:v>25 | Security &amp; Authorization</x:v>
      </x:c>
      <x:c r="C406" s="62" t="str">
        <x:v>Security &amp; Authorization</x:v>
      </x:c>
      <x:c r="D406" s="62" t="str">
        <x:v>RAP authorization definitions and implementation</x:v>
      </x:c>
      <x:c r="E406" s="62" t="str">
        <x:v>For “RAP authorization definitions and implementation”: explain its purpose and key rules, demonstrate a small example or trace, handle one common edge case/failure, and name a relevant best practice or trade-off.</x:v>
      </x:c>
      <x:c r="F406" s="62" t="str">
        <x:v>Core</x:v>
      </x:c>
      <x:c r="G406" s="62" t="str">
        <x:v>P1</x:v>
      </x:c>
      <x:c r="H406" s="62" t="str">
        <x:v>Not Started</x:v>
      </x:c>
      <x:c r="I406" s="62"/>
      <x:c r="J406" s="66"/>
      <x:c r="K406" s="62" t="str"/>
      <x:c r="L406" s="62" t="str">
        <x:v>RAP tutorials (Resources)</x:v>
      </x:c>
    </x:row>
    <x:row r="407" ht="40" customHeight="1">
      <x:c r="A407" s="62" t="str">
        <x:v>ABAP-403</x:v>
      </x:c>
      <x:c r="B407" s="62" t="str">
        <x:v>25 | Security &amp; Authorization</x:v>
      </x:c>
      <x:c r="C407" s="62" t="str">
        <x:v>Security &amp; Authorization</x:v>
      </x:c>
      <x:c r="D407" s="62" t="str">
        <x:v>RFC destination and service authorization concepts</x:v>
      </x:c>
      <x:c r="E407" s="62" t="str">
        <x:v>For “RFC destination and service authorization concepts”: explain its purpose and key rules, demonstrate a small example or trace, handle one common edge case/failure, and name a relevant best practice or trade-off.</x:v>
      </x:c>
      <x:c r="F407" s="62" t="str">
        <x:v>Core</x:v>
      </x:c>
      <x:c r="G407" s="62" t="str">
        <x:v>P2</x:v>
      </x:c>
      <x:c r="H407" s="62" t="str">
        <x:v>Not Started</x:v>
      </x:c>
      <x:c r="I407" s="62"/>
      <x:c r="J407" s="66"/>
      <x:c r="K407" s="62" t="str"/>
      <x:c r="L407" s="62" t="str"/>
    </x:row>
    <x:row r="408" ht="40" customHeight="1">
      <x:c r="A408" s="62" t="str">
        <x:v>ABAP-404</x:v>
      </x:c>
      <x:c r="B408" s="62" t="str">
        <x:v>25 | Security &amp; Authorization</x:v>
      </x:c>
      <x:c r="C408" s="62" t="str">
        <x:v>Security &amp; Authorization</x:v>
      </x:c>
      <x:c r="D408" s="62" t="str">
        <x:v>Input validation and safe dynamic SQL</x:v>
      </x:c>
      <x:c r="E408" s="62" t="str">
        <x:v>For “Input validation and safe dynamic SQL”: explain its purpose and key rules, demonstrate a small example or trace, handle one common edge case/failure, and name a relevant best practice or trade-off.</x:v>
      </x:c>
      <x:c r="F408" s="62" t="str">
        <x:v>Core</x:v>
      </x:c>
      <x:c r="G408" s="62" t="str">
        <x:v>P1</x:v>
      </x:c>
      <x:c r="H408" s="62" t="str">
        <x:v>Not Started</x:v>
      </x:c>
      <x:c r="I408" s="62"/>
      <x:c r="J408" s="66"/>
      <x:c r="K408" s="62" t="str"/>
      <x:c r="L408" s="62" t="str"/>
    </x:row>
    <x:row r="409" ht="40" customHeight="1">
      <x:c r="A409" s="62" t="str">
        <x:v>ABAP-405</x:v>
      </x:c>
      <x:c r="B409" s="62" t="str">
        <x:v>25 | Security &amp; Authorization</x:v>
      </x:c>
      <x:c r="C409" s="62" t="str">
        <x:v>Security &amp; Authorization</x:v>
      </x:c>
      <x:c r="D409" s="62" t="str">
        <x:v>Sensitive data logging and masking</x:v>
      </x:c>
      <x:c r="E409" s="62" t="str">
        <x:v>For “Sensitive data logging and masking”: explain its purpose and key rules, demonstrate a small example or trace, handle one common edge case/failure, and name a relevant best practice or trade-off.</x:v>
      </x:c>
      <x:c r="F409" s="62" t="str">
        <x:v>Core</x:v>
      </x:c>
      <x:c r="G409" s="62" t="str">
        <x:v>P2</x:v>
      </x:c>
      <x:c r="H409" s="62" t="str">
        <x:v>Not Started</x:v>
      </x:c>
      <x:c r="I409" s="62"/>
      <x:c r="J409" s="66"/>
      <x:c r="K409" s="62" t="str"/>
      <x:c r="L409" s="62" t="str"/>
    </x:row>
    <x:row r="410" ht="40" customHeight="1">
      <x:c r="A410" s="62" t="str">
        <x:v>ABAP-406</x:v>
      </x:c>
      <x:c r="B410" s="62" t="str">
        <x:v>25 | Security &amp; Authorization</x:v>
      </x:c>
      <x:c r="C410" s="62" t="str">
        <x:v>Security &amp; Authorization</x:v>
      </x:c>
      <x:c r="D410" s="62" t="str">
        <x:v>OData/HTTP security basics: CSRF, authentication and error leakage</x:v>
      </x:c>
      <x:c r="E410" s="62" t="str">
        <x:v>For “OData/HTTP security basics: CSRF, authentication and error leakage”: explain its purpose and key rules, demonstrate a small example or trace, handle one common edge case/failure, and name a relevant best practice or trade-off.</x:v>
      </x:c>
      <x:c r="F410" s="62" t="str">
        <x:v>Core</x:v>
      </x:c>
      <x:c r="G410" s="62" t="str">
        <x:v>P1</x:v>
      </x:c>
      <x:c r="H410" s="62" t="str">
        <x:v>Not Started</x:v>
      </x:c>
      <x:c r="I410" s="62"/>
      <x:c r="J410" s="66"/>
      <x:c r="K410" s="62" t="str"/>
      <x:c r="L410" s="62" t="str"/>
    </x:row>
    <x:row r="411" ht="40" customHeight="1">
      <x:c r="A411" s="62" t="str">
        <x:v>ABAP-407</x:v>
      </x:c>
      <x:c r="B411" s="62" t="str">
        <x:v>26 | LUWs, Locking, Update Tasks &amp; Jobs</x:v>
      </x:c>
      <x:c r="C411" s="62" t="str">
        <x:v>LUWs, Locking, Update Tasks &amp; Jobs</x:v>
      </x:c>
      <x:c r="D411" s="62" t="str">
        <x:v>SAP LUW vs database LUW</x:v>
      </x:c>
      <x:c r="E411" s="62" t="str">
        <x:v>For “SAP LUW vs database LUW”: explain its purpose and key rules, demonstrate a small example or trace, handle one common edge case/failure, and name a relevant best practice or trade-off.</x:v>
      </x:c>
      <x:c r="F411" s="62" t="str">
        <x:v>Intermediate</x:v>
      </x:c>
      <x:c r="G411" s="62" t="str">
        <x:v>P1</x:v>
      </x:c>
      <x:c r="H411" s="62" t="str">
        <x:v>Not Started</x:v>
      </x:c>
      <x:c r="I411" s="62"/>
      <x:c r="J411" s="66"/>
      <x:c r="K411" s="62" t="str"/>
      <x:c r="L411" s="62" t="str"/>
    </x:row>
    <x:row r="412" ht="40" customHeight="1">
      <x:c r="A412" s="62" t="str">
        <x:v>ABAP-408</x:v>
      </x:c>
      <x:c r="B412" s="62" t="str">
        <x:v>26 | LUWs, Locking, Update Tasks &amp; Jobs</x:v>
      </x:c>
      <x:c r="C412" s="62" t="str">
        <x:v>LUWs, Locking, Update Tasks &amp; Jobs</x:v>
      </x:c>
      <x:c r="D412" s="62" t="str">
        <x:v>COMMIT WORK, COMMIT WORK AND WAIT and ROLLBACK WORK</x:v>
      </x:c>
      <x:c r="E412" s="62" t="str">
        <x:v>For “COMMIT WORK, COMMIT WORK AND WAIT and ROLLBACK WORK”: explain its purpose and key rules, demonstrate a small example or trace, handle one common edge case/failure, and name a relevant best practice or trade-off.</x:v>
      </x:c>
      <x:c r="F412" s="62" t="str">
        <x:v>Intermediate</x:v>
      </x:c>
      <x:c r="G412" s="62" t="str">
        <x:v>P1</x:v>
      </x:c>
      <x:c r="H412" s="62" t="str">
        <x:v>Not Started</x:v>
      </x:c>
      <x:c r="I412" s="62"/>
      <x:c r="J412" s="66"/>
      <x:c r="K412" s="62" t="str"/>
      <x:c r="L412" s="62" t="str"/>
    </x:row>
    <x:row r="413" ht="40" customHeight="1">
      <x:c r="A413" s="62" t="str">
        <x:v>ABAP-409</x:v>
      </x:c>
      <x:c r="B413" s="62" t="str">
        <x:v>26 | LUWs, Locking, Update Tasks &amp; Jobs</x:v>
      </x:c>
      <x:c r="C413" s="62" t="str">
        <x:v>LUWs, Locking, Update Tasks &amp; Jobs</x:v>
      </x:c>
      <x:c r="D413" s="62" t="str">
        <x:v>Update task: CALL FUNCTION IN UPDATE TASK</x:v>
      </x:c>
      <x:c r="E413" s="62" t="str">
        <x:v>For “Update task: CALL FUNCTION IN UPDATE TASK”: explain its purpose and key rules, demonstrate a small example or trace, handle one common edge case/failure, and name a relevant best practice or trade-off.</x:v>
      </x:c>
      <x:c r="F413" s="62" t="str">
        <x:v>Intermediate</x:v>
      </x:c>
      <x:c r="G413" s="62" t="str">
        <x:v>P2</x:v>
      </x:c>
      <x:c r="H413" s="62" t="str">
        <x:v>Not Started</x:v>
      </x:c>
      <x:c r="I413" s="62"/>
      <x:c r="J413" s="66"/>
      <x:c r="K413" s="62" t="str"/>
      <x:c r="L413" s="62" t="str"/>
    </x:row>
    <x:row r="414" ht="40" customHeight="1">
      <x:c r="A414" s="62" t="str">
        <x:v>ABAP-410</x:v>
      </x:c>
      <x:c r="B414" s="62" t="str">
        <x:v>26 | LUWs, Locking, Update Tasks &amp; Jobs</x:v>
      </x:c>
      <x:c r="C414" s="62" t="str">
        <x:v>LUWs, Locking, Update Tasks &amp; Jobs</x:v>
      </x:c>
      <x:c r="D414" s="62" t="str">
        <x:v>Enqueue/dequeue locking and lock collisions</x:v>
      </x:c>
      <x:c r="E414" s="62" t="str">
        <x:v>For “Enqueue/dequeue locking and lock collisions”: explain its purpose and key rules, demonstrate a small example or trace, handle one common edge case/failure, and name a relevant best practice or trade-off.</x:v>
      </x:c>
      <x:c r="F414" s="62" t="str">
        <x:v>Intermediate</x:v>
      </x:c>
      <x:c r="G414" s="62" t="str">
        <x:v>P1</x:v>
      </x:c>
      <x:c r="H414" s="62" t="str">
        <x:v>Not Started</x:v>
      </x:c>
      <x:c r="I414" s="62"/>
      <x:c r="J414" s="66"/>
      <x:c r="K414" s="62" t="str"/>
      <x:c r="L414" s="62" t="str"/>
    </x:row>
    <x:row r="415" ht="40" customHeight="1">
      <x:c r="A415" s="62" t="str">
        <x:v>ABAP-411</x:v>
      </x:c>
      <x:c r="B415" s="62" t="str">
        <x:v>26 | LUWs, Locking, Update Tasks &amp; Jobs</x:v>
      </x:c>
      <x:c r="C415" s="62" t="str">
        <x:v>LUWs, Locking, Update Tasks &amp; Jobs</x:v>
      </x:c>
      <x:c r="D415" s="62" t="str">
        <x:v>Lock lifetime and ownership considerations</x:v>
      </x:c>
      <x:c r="E415" s="62" t="str">
        <x:v>For “Lock lifetime and ownership considerations”: explain its purpose and key rules, demonstrate a small example or trace, handle one common edge case/failure, and name a relevant best practice or trade-off.</x:v>
      </x:c>
      <x:c r="F415" s="62" t="str">
        <x:v>Intermediate</x:v>
      </x:c>
      <x:c r="G415" s="62" t="str">
        <x:v>P2</x:v>
      </x:c>
      <x:c r="H415" s="62" t="str">
        <x:v>Not Started</x:v>
      </x:c>
      <x:c r="I415" s="62"/>
      <x:c r="J415" s="66"/>
      <x:c r="K415" s="62" t="str"/>
      <x:c r="L415" s="62" t="str"/>
    </x:row>
    <x:row r="416" ht="40" customHeight="1">
      <x:c r="A416" s="62" t="str">
        <x:v>ABAP-412</x:v>
      </x:c>
      <x:c r="B416" s="62" t="str">
        <x:v>26 | LUWs, Locking, Update Tasks &amp; Jobs</x:v>
      </x:c>
      <x:c r="C416" s="62" t="str">
        <x:v>LUWs, Locking, Update Tasks &amp; Jobs</x:v>
      </x:c>
      <x:c r="D416" s="62" t="str">
        <x:v>Background jobs: SM36/SM37 and job steps</x:v>
      </x:c>
      <x:c r="E416" s="62" t="str">
        <x:v>For “Background jobs: SM36/SM37 and job steps”: explain its purpose and key rules, demonstrate a small example or trace, handle one common edge case/failure, and name a relevant best practice or trade-off.</x:v>
      </x:c>
      <x:c r="F416" s="62" t="str">
        <x:v>Intermediate</x:v>
      </x:c>
      <x:c r="G416" s="62" t="str">
        <x:v>P1</x:v>
      </x:c>
      <x:c r="H416" s="62" t="str">
        <x:v>Not Started</x:v>
      </x:c>
      <x:c r="I416" s="62"/>
      <x:c r="J416" s="66"/>
      <x:c r="K416" s="62" t="str"/>
      <x:c r="L416" s="62" t="str"/>
    </x:row>
    <x:row r="417" ht="40" customHeight="1">
      <x:c r="A417" s="62" t="str">
        <x:v>ABAP-413</x:v>
      </x:c>
      <x:c r="B417" s="62" t="str">
        <x:v>26 | LUWs, Locking, Update Tasks &amp; Jobs</x:v>
      </x:c>
      <x:c r="C417" s="62" t="str">
        <x:v>LUWs, Locking, Update Tasks &amp; Jobs</x:v>
      </x:c>
      <x:c r="D417" s="62" t="str">
        <x:v>Job variants and background user authorization</x:v>
      </x:c>
      <x:c r="E417" s="62" t="str">
        <x:v>For “Job variants and background user authorization”: explain its purpose and key rules, demonstrate a small example or trace, handle one common edge case/failure, and name a relevant best practice or trade-off.</x:v>
      </x:c>
      <x:c r="F417" s="62" t="str">
        <x:v>Intermediate</x:v>
      </x:c>
      <x:c r="G417" s="62" t="str">
        <x:v>P1</x:v>
      </x:c>
      <x:c r="H417" s="62" t="str">
        <x:v>Not Started</x:v>
      </x:c>
      <x:c r="I417" s="62"/>
      <x:c r="J417" s="66"/>
      <x:c r="K417" s="62" t="str"/>
      <x:c r="L417" s="62" t="str"/>
    </x:row>
    <x:row r="418" ht="40" customHeight="1">
      <x:c r="A418" s="62" t="str">
        <x:v>ABAP-414</x:v>
      </x:c>
      <x:c r="B418" s="62" t="str">
        <x:v>26 | LUWs, Locking, Update Tasks &amp; Jobs</x:v>
      </x:c>
      <x:c r="C418" s="62" t="str">
        <x:v>LUWs, Locking, Update Tasks &amp; Jobs</x:v>
      </x:c>
      <x:c r="D418" s="62" t="str">
        <x:v>Job logs, spool and failure monitoring</x:v>
      </x:c>
      <x:c r="E418" s="62" t="str">
        <x:v>For “Job logs, spool and failure monitoring”: explain its purpose and key rules, demonstrate a small example or trace, handle one common edge case/failure, and name a relevant best practice or trade-off.</x:v>
      </x:c>
      <x:c r="F418" s="62" t="str">
        <x:v>Intermediate</x:v>
      </x:c>
      <x:c r="G418" s="62" t="str">
        <x:v>P1</x:v>
      </x:c>
      <x:c r="H418" s="62" t="str">
        <x:v>Not Started</x:v>
      </x:c>
      <x:c r="I418" s="62"/>
      <x:c r="J418" s="66"/>
      <x:c r="K418" s="62" t="str"/>
      <x:c r="L418" s="62" t="str"/>
    </x:row>
    <x:row r="419" ht="40" customHeight="1">
      <x:c r="A419" s="62" t="str">
        <x:v>ABAP-415</x:v>
      </x:c>
      <x:c r="B419" s="62" t="str">
        <x:v>26 | LUWs, Locking, Update Tasks &amp; Jobs</x:v>
      </x:c>
      <x:c r="C419" s="62" t="str">
        <x:v>LUWs, Locking, Update Tasks &amp; Jobs</x:v>
      </x:c>
      <x:c r="D419" s="62" t="str">
        <x:v>Parallel processing and asynchronous RFC concepts</x:v>
      </x:c>
      <x:c r="E419" s="62" t="str">
        <x:v>For “Parallel processing and asynchronous RFC concepts”: explain its purpose and key rules, demonstrate a small example or trace, handle one common edge case/failure, and name a relevant best practice or trade-off.</x:v>
      </x:c>
      <x:c r="F419" s="62" t="str">
        <x:v>Intermediate</x:v>
      </x:c>
      <x:c r="G419" s="62" t="str">
        <x:v>P2</x:v>
      </x:c>
      <x:c r="H419" s="62" t="str">
        <x:v>Not Started</x:v>
      </x:c>
      <x:c r="I419" s="62"/>
      <x:c r="J419" s="66"/>
      <x:c r="K419" s="62" t="str"/>
      <x:c r="L419" s="62" t="str"/>
    </x:row>
    <x:row r="420" ht="40" customHeight="1">
      <x:c r="A420" s="62" t="str">
        <x:v>ABAP-416</x:v>
      </x:c>
      <x:c r="B420" s="62" t="str">
        <x:v>26 | LUWs, Locking, Update Tasks &amp; Jobs</x:v>
      </x:c>
      <x:c r="C420" s="62" t="str">
        <x:v>LUWs, Locking, Update Tasks &amp; Jobs</x:v>
      </x:c>
      <x:c r="D420" s="62" t="str">
        <x:v>Retry, idempotency and duplicate-processing prevention</x:v>
      </x:c>
      <x:c r="E420" s="62" t="str">
        <x:v>For “Retry, idempotency and duplicate-processing prevention”: explain its purpose and key rules, demonstrate a small example or trace, handle one common edge case/failure, and name a relevant best practice or trade-off.</x:v>
      </x:c>
      <x:c r="F420" s="62" t="str">
        <x:v>Intermediate</x:v>
      </x:c>
      <x:c r="G420" s="62" t="str">
        <x:v>P2</x:v>
      </x:c>
      <x:c r="H420" s="62" t="str">
        <x:v>Not Started</x:v>
      </x:c>
      <x:c r="I420" s="62"/>
      <x:c r="J420" s="66"/>
      <x:c r="K420" s="62" t="str"/>
      <x:c r="L420" s="62" t="str"/>
    </x:row>
    <x:row r="421" ht="40" customHeight="1">
      <x:c r="A421" s="62" t="str">
        <x:v>ABAP-417</x:v>
      </x:c>
      <x:c r="B421" s="62" t="str">
        <x:v>26 | LUWs, Locking, Update Tasks &amp; Jobs</x:v>
      </x:c>
      <x:c r="C421" s="62" t="str">
        <x:v>LUWs, Locking, Update Tasks &amp; Jobs</x:v>
      </x:c>
      <x:c r="D421" s="62" t="str">
        <x:v>qRFC/bgRFC monitoring and operational recovery</x:v>
      </x:c>
      <x:c r="E421" s="62" t="str">
        <x:v>For “qRFC/bgRFC monitoring and operational recovery”: explain its purpose and key rules, demonstrate a small example or trace, handle one common edge case/failure, and name a relevant best practice or trade-off.</x:v>
      </x:c>
      <x:c r="F421" s="62" t="str">
        <x:v>Specialized</x:v>
      </x:c>
      <x:c r="G421" s="62" t="str">
        <x:v>P3</x:v>
      </x:c>
      <x:c r="H421" s="62" t="str">
        <x:v>Not Started</x:v>
      </x:c>
      <x:c r="I421" s="62"/>
      <x:c r="J421" s="66"/>
      <x:c r="K421" s="62" t="str"/>
      <x:c r="L421" s="62" t="str"/>
    </x:row>
    <x:row r="422" ht="40" customHeight="1">
      <x:c r="A422" s="62" t="str">
        <x:v>ABAP-418</x:v>
      </x:c>
      <x:c r="B422" s="62" t="str">
        <x:v>26 | LUWs, Locking, Update Tasks &amp; Jobs</x:v>
      </x:c>
      <x:c r="C422" s="62" t="str">
        <x:v>LUWs, Locking, Update Tasks &amp; Jobs</x:v>
      </x:c>
      <x:c r="D422" s="62" t="str">
        <x:v>Database commit behavior inside BAPI and RAP contexts</x:v>
      </x:c>
      <x:c r="E422" s="62" t="str">
        <x:v>For “Database commit behavior inside BAPI and RAP contexts”: explain its purpose and key rules, demonstrate a small example or trace, handle one common edge case/failure, and name a relevant best practice or trade-off.</x:v>
      </x:c>
      <x:c r="F422" s="62" t="str">
        <x:v>Intermediate</x:v>
      </x:c>
      <x:c r="G422" s="62" t="str">
        <x:v>P1</x:v>
      </x:c>
      <x:c r="H422" s="62" t="str">
        <x:v>Not Started</x:v>
      </x:c>
      <x:c r="I422" s="62"/>
      <x:c r="J422" s="66"/>
      <x:c r="K422" s="62" t="str"/>
      <x:c r="L422" s="62" t="str">
        <x:v>RAP tutorials (Resources)</x:v>
      </x:c>
    </x:row>
    <x:row r="423" ht="40" customHeight="1">
      <x:c r="A423" s="62" t="str">
        <x:v>ABAP-419</x:v>
      </x:c>
      <x:c r="B423" s="62" t="str">
        <x:v>27 | Performance &amp; Scalability</x:v>
      </x:c>
      <x:c r="C423" s="62" t="str">
        <x:v>Performance &amp; Scalability</x:v>
      </x:c>
      <x:c r="D423" s="62" t="str">
        <x:v>ST05 SQL trace: interpreting SQL statements and duration</x:v>
      </x:c>
      <x:c r="E423" s="62" t="str">
        <x:v>For “ST05 SQL trace: interpreting SQL statements and duration”: explain its purpose and key rules, demonstrate a small example or trace, handle one common edge case/failure, and name a relevant best practice or trade-off.</x:v>
      </x:c>
      <x:c r="F423" s="62" t="str">
        <x:v>Advanced</x:v>
      </x:c>
      <x:c r="G423" s="62" t="str">
        <x:v>P1</x:v>
      </x:c>
      <x:c r="H423" s="62" t="str">
        <x:v>Not Started</x:v>
      </x:c>
      <x:c r="I423" s="62"/>
      <x:c r="J423" s="66"/>
      <x:c r="K423" s="62" t="str"/>
      <x:c r="L423" s="62" t="str"/>
    </x:row>
    <x:row r="424" ht="40" customHeight="1">
      <x:c r="A424" s="62" t="str">
        <x:v>ABAP-420</x:v>
      </x:c>
      <x:c r="B424" s="62" t="str">
        <x:v>27 | Performance &amp; Scalability</x:v>
      </x:c>
      <x:c r="C424" s="62" t="str">
        <x:v>Performance &amp; Scalability</x:v>
      </x:c>
      <x:c r="D424" s="62" t="str">
        <x:v>SAT: call hierarchy, net/gross time and hit lists</x:v>
      </x:c>
      <x:c r="E424" s="62" t="str">
        <x:v>For “SAT: call hierarchy, net/gross time and hit lists”: explain its purpose and key rules, demonstrate a small example or trace, handle one common edge case/failure, and name a relevant best practice or trade-off.</x:v>
      </x:c>
      <x:c r="F424" s="62" t="str">
        <x:v>Advanced</x:v>
      </x:c>
      <x:c r="G424" s="62" t="str">
        <x:v>P1</x:v>
      </x:c>
      <x:c r="H424" s="62" t="str">
        <x:v>Not Started</x:v>
      </x:c>
      <x:c r="I424" s="62"/>
      <x:c r="J424" s="66"/>
      <x:c r="K424" s="62" t="str"/>
      <x:c r="L424" s="62" t="str"/>
    </x:row>
    <x:row r="425" ht="40" customHeight="1">
      <x:c r="A425" s="62" t="str">
        <x:v>ABAP-421</x:v>
      </x:c>
      <x:c r="B425" s="62" t="str">
        <x:v>27 | Performance &amp; Scalability</x:v>
      </x:c>
      <x:c r="C425" s="62" t="str">
        <x:v>Performance &amp; Scalability</x:v>
      </x:c>
      <x:c r="D425" s="62" t="str">
        <x:v>ST12 and SQL Monitor (SQLM)</x:v>
      </x:c>
      <x:c r="E425" s="62" t="str">
        <x:v>For “ST12 and SQL Monitor (SQLM)”: explain its purpose and key rules, demonstrate a small example or trace, handle one common edge case/failure, and name a relevant best practice or trade-off.</x:v>
      </x:c>
      <x:c r="F425" s="62" t="str">
        <x:v>Advanced</x:v>
      </x:c>
      <x:c r="G425" s="62" t="str">
        <x:v>P2</x:v>
      </x:c>
      <x:c r="H425" s="62" t="str">
        <x:v>Not Started</x:v>
      </x:c>
      <x:c r="I425" s="62"/>
      <x:c r="J425" s="66"/>
      <x:c r="K425" s="62" t="str"/>
      <x:c r="L425" s="62" t="str"/>
    </x:row>
    <x:row r="426" ht="40" customHeight="1">
      <x:c r="A426" s="62" t="str">
        <x:v>ABAP-422</x:v>
      </x:c>
      <x:c r="B426" s="62" t="str">
        <x:v>27 | Performance &amp; Scalability</x:v>
      </x:c>
      <x:c r="C426" s="62" t="str">
        <x:v>Performance &amp; Scalability</x:v>
      </x:c>
      <x:c r="D426" s="62" t="str">
        <x:v>SWLT and ATC performance findings</x:v>
      </x:c>
      <x:c r="E426" s="62" t="str">
        <x:v>For “SWLT and ATC performance findings”: explain its purpose and key rules, demonstrate a small example or trace, handle one common edge case/failure, and name a relevant best practice or trade-off.</x:v>
      </x:c>
      <x:c r="F426" s="62" t="str">
        <x:v>Advanced</x:v>
      </x:c>
      <x:c r="G426" s="62" t="str">
        <x:v>P2</x:v>
      </x:c>
      <x:c r="H426" s="62" t="str">
        <x:v>Not Started</x:v>
      </x:c>
      <x:c r="I426" s="62"/>
      <x:c r="J426" s="66"/>
      <x:c r="K426" s="62" t="str"/>
      <x:c r="L426" s="62" t="str"/>
    </x:row>
    <x:row r="427" ht="40" customHeight="1">
      <x:c r="A427" s="62" t="str">
        <x:v>ABAP-423</x:v>
      </x:c>
      <x:c r="B427" s="62" t="str">
        <x:v>27 | Performance &amp; Scalability</x:v>
      </x:c>
      <x:c r="C427" s="62" t="str">
        <x:v>Performance &amp; Scalability</x:v>
      </x:c>
      <x:c r="D427" s="62" t="str">
        <x:v>Avoiding SELECT inside loops</x:v>
      </x:c>
      <x:c r="E427" s="62" t="str">
        <x:v>For “Avoiding SELECT inside loops”: explain its purpose and key rules, demonstrate a small example or trace, handle one common edge case/failure, and name a relevant best practice or trade-off.</x:v>
      </x:c>
      <x:c r="F427" s="62" t="str">
        <x:v>Advanced</x:v>
      </x:c>
      <x:c r="G427" s="62" t="str">
        <x:v>P1</x:v>
      </x:c>
      <x:c r="H427" s="62" t="str">
        <x:v>Not Started</x:v>
      </x:c>
      <x:c r="I427" s="62"/>
      <x:c r="J427" s="66"/>
      <x:c r="K427" s="62" t="str"/>
      <x:c r="L427" s="62" t="str"/>
    </x:row>
    <x:row r="428" ht="40" customHeight="1">
      <x:c r="A428" s="62" t="str">
        <x:v>ABAP-424</x:v>
      </x:c>
      <x:c r="B428" s="62" t="str">
        <x:v>27 | Performance &amp; Scalability</x:v>
      </x:c>
      <x:c r="C428" s="62" t="str">
        <x:v>Performance &amp; Scalability</x:v>
      </x:c>
      <x:c r="D428" s="62" t="str">
        <x:v>Join vs FOR ALL ENTRIES trade-offs</x:v>
      </x:c>
      <x:c r="E428" s="62" t="str">
        <x:v>For “Join vs FOR ALL ENTRIES trade-offs”: explain its purpose and key rules, demonstrate a small example or trace, handle one common edge case/failure, and name a relevant best practice or trade-off.</x:v>
      </x:c>
      <x:c r="F428" s="62" t="str">
        <x:v>Advanced</x:v>
      </x:c>
      <x:c r="G428" s="62" t="str">
        <x:v>P1</x:v>
      </x:c>
      <x:c r="H428" s="62" t="str">
        <x:v>Not Started</x:v>
      </x:c>
      <x:c r="I428" s="62"/>
      <x:c r="J428" s="66"/>
      <x:c r="K428" s="62" t="str"/>
      <x:c r="L428" s="62" t="str"/>
    </x:row>
    <x:row r="429" ht="40" customHeight="1">
      <x:c r="A429" s="62" t="str">
        <x:v>ABAP-425</x:v>
      </x:c>
      <x:c r="B429" s="62" t="str">
        <x:v>27 | Performance &amp; Scalability</x:v>
      </x:c>
      <x:c r="C429" s="62" t="str">
        <x:v>Performance &amp; Scalability</x:v>
      </x:c>
      <x:c r="D429" s="62" t="str">
        <x:v>Selecting only needed columns and server-side filtering</x:v>
      </x:c>
      <x:c r="E429" s="62" t="str">
        <x:v>For “Selecting only needed columns and server-side filtering”: explain its purpose and key rules, demonstrate a small example or trace, handle one common edge case/failure, and name a relevant best practice or trade-off.</x:v>
      </x:c>
      <x:c r="F429" s="62" t="str">
        <x:v>Advanced</x:v>
      </x:c>
      <x:c r="G429" s="62" t="str">
        <x:v>P1</x:v>
      </x:c>
      <x:c r="H429" s="62" t="str">
        <x:v>Not Started</x:v>
      </x:c>
      <x:c r="I429" s="62"/>
      <x:c r="J429" s="66"/>
      <x:c r="K429" s="62" t="str"/>
      <x:c r="L429" s="62" t="str"/>
    </x:row>
    <x:row r="430" ht="40" customHeight="1">
      <x:c r="A430" s="62" t="str">
        <x:v>ABAP-426</x:v>
      </x:c>
      <x:c r="B430" s="62" t="str">
        <x:v>27 | Performance &amp; Scalability</x:v>
      </x:c>
      <x:c r="C430" s="62" t="str">
        <x:v>Performance &amp; Scalability</x:v>
      </x:c>
      <x:c r="D430" s="62" t="str">
        <x:v>Internal-table algorithmic complexity and keyed access</x:v>
      </x:c>
      <x:c r="E430" s="62" t="str">
        <x:v>For “Internal-table algorithmic complexity and keyed access”: explain its purpose and key rules, demonstrate a small example or trace, handle one common edge case/failure, and name a relevant best practice or trade-off.</x:v>
      </x:c>
      <x:c r="F430" s="62" t="str">
        <x:v>Advanced</x:v>
      </x:c>
      <x:c r="G430" s="62" t="str">
        <x:v>P1</x:v>
      </x:c>
      <x:c r="H430" s="62" t="str">
        <x:v>Not Started</x:v>
      </x:c>
      <x:c r="I430" s="62"/>
      <x:c r="J430" s="66"/>
      <x:c r="K430" s="62" t="str"/>
      <x:c r="L430" s="62" t="str"/>
    </x:row>
    <x:row r="431" ht="40" customHeight="1">
      <x:c r="A431" s="62" t="str">
        <x:v>ABAP-427</x:v>
      </x:c>
      <x:c r="B431" s="62" t="str">
        <x:v>27 | Performance &amp; Scalability</x:v>
      </x:c>
      <x:c r="C431" s="62" t="str">
        <x:v>Performance &amp; Scalability</x:v>
      </x:c>
      <x:c r="D431" s="62" t="str">
        <x:v>Hashed/sorted keys and secondary-key use cases</x:v>
      </x:c>
      <x:c r="E431" s="62" t="str">
        <x:v>For “Hashed/sorted keys and secondary-key use cases”: explain its purpose and key rules, demonstrate a small example or trace, handle one common edge case/failure, and name a relevant best practice or trade-off.</x:v>
      </x:c>
      <x:c r="F431" s="62" t="str">
        <x:v>Advanced</x:v>
      </x:c>
      <x:c r="G431" s="62" t="str">
        <x:v>P1</x:v>
      </x:c>
      <x:c r="H431" s="62" t="str">
        <x:v>Not Started</x:v>
      </x:c>
      <x:c r="I431" s="62"/>
      <x:c r="J431" s="66"/>
      <x:c r="K431" s="62" t="str"/>
      <x:c r="L431" s="62" t="str"/>
    </x:row>
    <x:row r="432" ht="40" customHeight="1">
      <x:c r="A432" s="62" t="str">
        <x:v>ABAP-428</x:v>
      </x:c>
      <x:c r="B432" s="62" t="str">
        <x:v>27 | Performance &amp; Scalability</x:v>
      </x:c>
      <x:c r="C432" s="62" t="str">
        <x:v>Performance &amp; Scalability</x:v>
      </x:c>
      <x:c r="D432" s="62" t="str">
        <x:v>Package processing for large data volumes</x:v>
      </x:c>
      <x:c r="E432" s="62" t="str">
        <x:v>For “Package processing for large data volumes”: explain its purpose and key rules, demonstrate a small example or trace, handle one common edge case/failure, and name a relevant best practice or trade-off.</x:v>
      </x:c>
      <x:c r="F432" s="62" t="str">
        <x:v>Advanced</x:v>
      </x:c>
      <x:c r="G432" s="62" t="str">
        <x:v>P1</x:v>
      </x:c>
      <x:c r="H432" s="62" t="str">
        <x:v>Not Started</x:v>
      </x:c>
      <x:c r="I432" s="62"/>
      <x:c r="J432" s="66"/>
      <x:c r="K432" s="62" t="str"/>
      <x:c r="L432" s="62" t="str"/>
    </x:row>
    <x:row r="433" ht="40" customHeight="1">
      <x:c r="A433" s="62" t="str">
        <x:v>ABAP-429</x:v>
      </x:c>
      <x:c r="B433" s="62" t="str">
        <x:v>27 | Performance &amp; Scalability</x:v>
      </x:c>
      <x:c r="C433" s="62" t="str">
        <x:v>Performance &amp; Scalability</x:v>
      </x:c>
      <x:c r="D433" s="62" t="str">
        <x:v>Avoiding unnecessary copies and deep structure churn</x:v>
      </x:c>
      <x:c r="E433" s="62" t="str">
        <x:v>For “Avoiding unnecessary copies and deep structure churn”: explain its purpose and key rules, demonstrate a small example or trace, handle one common edge case/failure, and name a relevant best practice or trade-off.</x:v>
      </x:c>
      <x:c r="F433" s="62" t="str">
        <x:v>Advanced</x:v>
      </x:c>
      <x:c r="G433" s="62" t="str">
        <x:v>P2</x:v>
      </x:c>
      <x:c r="H433" s="62" t="str">
        <x:v>Not Started</x:v>
      </x:c>
      <x:c r="I433" s="62"/>
      <x:c r="J433" s="66"/>
      <x:c r="K433" s="62" t="str"/>
      <x:c r="L433" s="62" t="str"/>
    </x:row>
    <x:row r="434" ht="40" customHeight="1">
      <x:c r="A434" s="62" t="str">
        <x:v>ABAP-430</x:v>
      </x:c>
      <x:c r="B434" s="62" t="str">
        <x:v>27 | Performance &amp; Scalability</x:v>
      </x:c>
      <x:c r="C434" s="62" t="str">
        <x:v>Performance &amp; Scalability</x:v>
      </x:c>
      <x:c r="D434" s="62" t="str">
        <x:v>Database indexes and selectivity awareness</x:v>
      </x:c>
      <x:c r="E434" s="62" t="str">
        <x:v>For “Database indexes and selectivity awareness”: explain its purpose and key rules, demonstrate a small example or trace, handle one common edge case/failure, and name a relevant best practice or trade-off.</x:v>
      </x:c>
      <x:c r="F434" s="62" t="str">
        <x:v>Advanced</x:v>
      </x:c>
      <x:c r="G434" s="62" t="str">
        <x:v>P2</x:v>
      </x:c>
      <x:c r="H434" s="62" t="str">
        <x:v>Not Started</x:v>
      </x:c>
      <x:c r="I434" s="62"/>
      <x:c r="J434" s="66"/>
      <x:c r="K434" s="62" t="str"/>
      <x:c r="L434" s="62" t="str"/>
    </x:row>
    <x:row r="435" ht="40" customHeight="1">
      <x:c r="A435" s="62" t="str">
        <x:v>ABAP-431</x:v>
      </x:c>
      <x:c r="B435" s="62" t="str">
        <x:v>27 | Performance &amp; Scalability</x:v>
      </x:c>
      <x:c r="C435" s="62" t="str">
        <x:v>Performance &amp; Scalability</x:v>
      </x:c>
      <x:c r="D435" s="62" t="str">
        <x:v>Table buffering vs direct access performance</x:v>
      </x:c>
      <x:c r="E435" s="62" t="str">
        <x:v>For “Table buffering vs direct access performance”: explain its purpose and key rules, demonstrate a small example or trace, handle one common edge case/failure, and name a relevant best practice or trade-off.</x:v>
      </x:c>
      <x:c r="F435" s="62" t="str">
        <x:v>Advanced</x:v>
      </x:c>
      <x:c r="G435" s="62" t="str">
        <x:v>P2</x:v>
      </x:c>
      <x:c r="H435" s="62" t="str">
        <x:v>Not Started</x:v>
      </x:c>
      <x:c r="I435" s="62"/>
      <x:c r="J435" s="66"/>
      <x:c r="K435" s="62" t="str"/>
      <x:c r="L435" s="62" t="str"/>
    </x:row>
    <x:row r="436" ht="40" customHeight="1">
      <x:c r="A436" s="62" t="str">
        <x:v>ABAP-432</x:v>
      </x:c>
      <x:c r="B436" s="62" t="str">
        <x:v>27 | Performance &amp; Scalability</x:v>
      </x:c>
      <x:c r="C436" s="62" t="str">
        <x:v>Performance &amp; Scalability</x:v>
      </x:c>
      <x:c r="D436" s="62" t="str">
        <x:v>Parallelization: when suitable and when costly</x:v>
      </x:c>
      <x:c r="E436" s="62" t="str">
        <x:v>For “Parallelization: when suitable and when costly”: explain its purpose and key rules, demonstrate a small example or trace, handle one common edge case/failure, and name a relevant best practice or trade-off.</x:v>
      </x:c>
      <x:c r="F436" s="62" t="str">
        <x:v>Advanced</x:v>
      </x:c>
      <x:c r="G436" s="62" t="str">
        <x:v>P3</x:v>
      </x:c>
      <x:c r="H436" s="62" t="str">
        <x:v>Not Started</x:v>
      </x:c>
      <x:c r="I436" s="62"/>
      <x:c r="J436" s="66"/>
      <x:c r="K436" s="62" t="str"/>
      <x:c r="L436" s="62" t="str"/>
    </x:row>
    <x:row r="437" ht="40" customHeight="1">
      <x:c r="A437" s="62" t="str">
        <x:v>ABAP-433</x:v>
      </x:c>
      <x:c r="B437" s="62" t="str">
        <x:v>27 | Performance &amp; Scalability</x:v>
      </x:c>
      <x:c r="C437" s="62" t="str">
        <x:v>Performance &amp; Scalability</x:v>
      </x:c>
      <x:c r="D437" s="62" t="str">
        <x:v>Large-volume ALV and UI payload optimization</x:v>
      </x:c>
      <x:c r="E437" s="62" t="str">
        <x:v>For “Large-volume ALV and UI payload optimization”: explain its purpose and key rules, demonstrate a small example or trace, handle one common edge case/failure, and name a relevant best practice or trade-off.</x:v>
      </x:c>
      <x:c r="F437" s="62" t="str">
        <x:v>Advanced</x:v>
      </x:c>
      <x:c r="G437" s="62" t="str">
        <x:v>P2</x:v>
      </x:c>
      <x:c r="H437" s="62" t="str">
        <x:v>Not Started</x:v>
      </x:c>
      <x:c r="I437" s="62"/>
      <x:c r="J437" s="66"/>
      <x:c r="K437" s="62" t="str"/>
      <x:c r="L437" s="62" t="str"/>
    </x:row>
    <x:row r="438" ht="40" customHeight="1">
      <x:c r="A438" s="62" t="str">
        <x:v>ABAP-434</x:v>
      </x:c>
      <x:c r="B438" s="62" t="str">
        <x:v>27 | Performance &amp; Scalability</x:v>
      </x:c>
      <x:c r="C438" s="62" t="str">
        <x:v>Performance &amp; Scalability</x:v>
      </x:c>
      <x:c r="D438" s="62" t="str">
        <x:v>CDS/RAP query performance analysis</x:v>
      </x:c>
      <x:c r="E438" s="62" t="str">
        <x:v>For “CDS/RAP query performance analysis”: explain its purpose and key rules, demonstrate a small example or trace, handle one common edge case/failure, and name a relevant best practice or trade-off.</x:v>
      </x:c>
      <x:c r="F438" s="62" t="str">
        <x:v>Advanced</x:v>
      </x:c>
      <x:c r="G438" s="62" t="str">
        <x:v>P1</x:v>
      </x:c>
      <x:c r="H438" s="62" t="str">
        <x:v>Not Started</x:v>
      </x:c>
      <x:c r="I438" s="62"/>
      <x:c r="J438" s="66"/>
      <x:c r="K438" s="62" t="str"/>
      <x:c r="L438" s="62" t="str">
        <x:v>RAP tutorials (Resources)</x:v>
      </x:c>
    </x:row>
    <x:row r="439" ht="40" customHeight="1">
      <x:c r="A439" s="62" t="str">
        <x:v>ABAP-435</x:v>
      </x:c>
      <x:c r="B439" s="62" t="str">
        <x:v>27 | Performance &amp; Scalability</x:v>
      </x:c>
      <x:c r="C439" s="62" t="str">
        <x:v>Performance &amp; Scalability</x:v>
      </x:c>
      <x:c r="D439" s="62" t="str">
        <x:v>Memory analysis and avoiding excessive result materialization</x:v>
      </x:c>
      <x:c r="E439" s="62" t="str">
        <x:v>For “Memory analysis and avoiding excessive result materialization”: explain its purpose and key rules, demonstrate a small example or trace, handle one common edge case/failure, and name a relevant best practice or trade-off.</x:v>
      </x:c>
      <x:c r="F439" s="62" t="str">
        <x:v>Advanced</x:v>
      </x:c>
      <x:c r="G439" s="62" t="str">
        <x:v>P2</x:v>
      </x:c>
      <x:c r="H439" s="62" t="str">
        <x:v>Not Started</x:v>
      </x:c>
      <x:c r="I439" s="62"/>
      <x:c r="J439" s="66"/>
      <x:c r="K439" s="62" t="str"/>
      <x:c r="L439" s="62" t="str"/>
    </x:row>
    <x:row r="440" ht="40" customHeight="1">
      <x:c r="A440" s="62" t="str">
        <x:v>ABAP-436</x:v>
      </x:c>
      <x:c r="B440" s="62" t="str">
        <x:v>28 | Testing &amp; Code Quality</x:v>
      </x:c>
      <x:c r="C440" s="62" t="str">
        <x:v>Testing &amp; Code Quality</x:v>
      </x:c>
      <x:c r="D440" s="62" t="str">
        <x:v>ABAP Unit: test classes, test methods and setup/teardown</x:v>
      </x:c>
      <x:c r="E440" s="62" t="str">
        <x:v>For “ABAP Unit: test classes, test methods and setup/teardown”: explain its purpose and key rules, demonstrate a small example or trace, handle one common edge case/failure, and name a relevant best practice or trade-off.</x:v>
      </x:c>
      <x:c r="F440" s="62" t="str">
        <x:v>Core</x:v>
      </x:c>
      <x:c r="G440" s="62" t="str">
        <x:v>P1</x:v>
      </x:c>
      <x:c r="H440" s="62" t="str">
        <x:v>Not Started</x:v>
      </x:c>
      <x:c r="I440" s="62"/>
      <x:c r="J440" s="66"/>
      <x:c r="K440" s="62" t="str"/>
      <x:c r="L440" s="62" t="str">
        <x:v>ABAP Unit resources (Resources)</x:v>
      </x:c>
    </x:row>
    <x:row r="441" ht="40" customHeight="1">
      <x:c r="A441" s="62" t="str">
        <x:v>ABAP-437</x:v>
      </x:c>
      <x:c r="B441" s="62" t="str">
        <x:v>28 | Testing &amp; Code Quality</x:v>
      </x:c>
      <x:c r="C441" s="62" t="str">
        <x:v>Testing &amp; Code Quality</x:v>
      </x:c>
      <x:c r="D441" s="62" t="str">
        <x:v>Assertions and meaningful failure messages</x:v>
      </x:c>
      <x:c r="E441" s="62" t="str">
        <x:v>For “Assertions and meaningful failure messages”: explain its purpose and key rules, demonstrate a small example or trace, handle one common edge case/failure, and name a relevant best practice or trade-off.</x:v>
      </x:c>
      <x:c r="F441" s="62" t="str">
        <x:v>Core</x:v>
      </x:c>
      <x:c r="G441" s="62" t="str">
        <x:v>P1</x:v>
      </x:c>
      <x:c r="H441" s="62" t="str">
        <x:v>Not Started</x:v>
      </x:c>
      <x:c r="I441" s="62"/>
      <x:c r="J441" s="66"/>
      <x:c r="K441" s="62" t="str"/>
      <x:c r="L441" s="62" t="str"/>
    </x:row>
    <x:row r="442" ht="40" customHeight="1">
      <x:c r="A442" s="62" t="str">
        <x:v>ABAP-438</x:v>
      </x:c>
      <x:c r="B442" s="62" t="str">
        <x:v>28 | Testing &amp; Code Quality</x:v>
      </x:c>
      <x:c r="C442" s="62" t="str">
        <x:v>Testing &amp; Code Quality</x:v>
      </x:c>
      <x:c r="D442" s="62" t="str">
        <x:v>Positive, negative, boundary and empty-data tests</x:v>
      </x:c>
      <x:c r="E442" s="62" t="str">
        <x:v>For “Positive, negative, boundary and empty-data tests”: explain its purpose and key rules, demonstrate a small example or trace, handle one common edge case/failure, and name a relevant best practice or trade-off.</x:v>
      </x:c>
      <x:c r="F442" s="62" t="str">
        <x:v>Core</x:v>
      </x:c>
      <x:c r="G442" s="62" t="str">
        <x:v>P1</x:v>
      </x:c>
      <x:c r="H442" s="62" t="str">
        <x:v>Not Started</x:v>
      </x:c>
      <x:c r="I442" s="62"/>
      <x:c r="J442" s="66"/>
      <x:c r="K442" s="62" t="str"/>
      <x:c r="L442" s="62" t="str">
        <x:v>ABAP Unit resources (Resources)</x:v>
      </x:c>
    </x:row>
    <x:row r="443" ht="40" customHeight="1">
      <x:c r="A443" s="62" t="str">
        <x:v>ABAP-439</x:v>
      </x:c>
      <x:c r="B443" s="62" t="str">
        <x:v>28 | Testing &amp; Code Quality</x:v>
      </x:c>
      <x:c r="C443" s="62" t="str">
        <x:v>Testing &amp; Code Quality</x:v>
      </x:c>
      <x:c r="D443" s="62" t="str">
        <x:v>Test seams and injection for legacy code</x:v>
      </x:c>
      <x:c r="E443" s="62" t="str">
        <x:v>For “Test seams and injection for legacy code”: explain its purpose and key rules, demonstrate a small example or trace, handle one common edge case/failure, and name a relevant best practice or trade-off.</x:v>
      </x:c>
      <x:c r="F443" s="62" t="str">
        <x:v>Core</x:v>
      </x:c>
      <x:c r="G443" s="62" t="str">
        <x:v>P2</x:v>
      </x:c>
      <x:c r="H443" s="62" t="str">
        <x:v>Not Started</x:v>
      </x:c>
      <x:c r="I443" s="62"/>
      <x:c r="J443" s="66"/>
      <x:c r="K443" s="62" t="str"/>
      <x:c r="L443" s="62" t="str">
        <x:v>ABAP Unit resources (Resources)</x:v>
      </x:c>
    </x:row>
    <x:row r="444" ht="40" customHeight="1">
      <x:c r="A444" s="62" t="str">
        <x:v>ABAP-440</x:v>
      </x:c>
      <x:c r="B444" s="62" t="str">
        <x:v>28 | Testing &amp; Code Quality</x:v>
      </x:c>
      <x:c r="C444" s="62" t="str">
        <x:v>Testing &amp; Code Quality</x:v>
      </x:c>
      <x:c r="D444" s="62" t="str">
        <x:v>Test doubles and dependency isolation</x:v>
      </x:c>
      <x:c r="E444" s="62" t="str">
        <x:v>For “Test doubles and dependency isolation”: explain its purpose and key rules, demonstrate a small example or trace, handle one common edge case/failure, and name a relevant best practice or trade-off.</x:v>
      </x:c>
      <x:c r="F444" s="62" t="str">
        <x:v>Core</x:v>
      </x:c>
      <x:c r="G444" s="62" t="str">
        <x:v>P2</x:v>
      </x:c>
      <x:c r="H444" s="62" t="str">
        <x:v>Not Started</x:v>
      </x:c>
      <x:c r="I444" s="62"/>
      <x:c r="J444" s="66"/>
      <x:c r="K444" s="62" t="str"/>
      <x:c r="L444" s="62" t="str">
        <x:v>ABAP Unit resources (Resources)</x:v>
      </x:c>
    </x:row>
    <x:row r="445" ht="40" customHeight="1">
      <x:c r="A445" s="62" t="str">
        <x:v>ABAP-441</x:v>
      </x:c>
      <x:c r="B445" s="62" t="str">
        <x:v>28 | Testing &amp; Code Quality</x:v>
      </x:c>
      <x:c r="C445" s="62" t="str">
        <x:v>Testing &amp; Code Quality</x:v>
      </x:c>
      <x:c r="D445" s="62" t="str">
        <x:v>Local vs global test classes</x:v>
      </x:c>
      <x:c r="E445" s="62" t="str">
        <x:v>For “Local vs global test classes”: explain its purpose and key rules, demonstrate a small example or trace, handle one common edge case/failure, and name a relevant best practice or trade-off.</x:v>
      </x:c>
      <x:c r="F445" s="62" t="str">
        <x:v>Core</x:v>
      </x:c>
      <x:c r="G445" s="62" t="str">
        <x:v>P1</x:v>
      </x:c>
      <x:c r="H445" s="62" t="str">
        <x:v>Not Started</x:v>
      </x:c>
      <x:c r="I445" s="62"/>
      <x:c r="J445" s="66"/>
      <x:c r="K445" s="62" t="str"/>
      <x:c r="L445" s="62" t="str">
        <x:v>ABAP Unit resources (Resources)</x:v>
      </x:c>
    </x:row>
    <x:row r="446" ht="40" customHeight="1">
      <x:c r="A446" s="62" t="str">
        <x:v>ABAP-442</x:v>
      </x:c>
      <x:c r="B446" s="62" t="str">
        <x:v>28 | Testing &amp; Code Quality</x:v>
      </x:c>
      <x:c r="C446" s="62" t="str">
        <x:v>Testing &amp; Code Quality</x:v>
      </x:c>
      <x:c r="D446" s="62" t="str">
        <x:v>Testing database-dependent logic</x:v>
      </x:c>
      <x:c r="E446" s="62" t="str">
        <x:v>For “Testing database-dependent logic”: explain its purpose and key rules, demonstrate a small example or trace, handle one common edge case/failure, and name a relevant best practice or trade-off.</x:v>
      </x:c>
      <x:c r="F446" s="62" t="str">
        <x:v>Core</x:v>
      </x:c>
      <x:c r="G446" s="62" t="str">
        <x:v>P2</x:v>
      </x:c>
      <x:c r="H446" s="62" t="str">
        <x:v>Not Started</x:v>
      </x:c>
      <x:c r="I446" s="62"/>
      <x:c r="J446" s="66"/>
      <x:c r="K446" s="62" t="str"/>
      <x:c r="L446" s="62" t="str">
        <x:v>ABAP Unit resources (Resources)</x:v>
      </x:c>
    </x:row>
    <x:row r="447" ht="40" customHeight="1">
      <x:c r="A447" s="62" t="str">
        <x:v>ABAP-443</x:v>
      </x:c>
      <x:c r="B447" s="62" t="str">
        <x:v>28 | Testing &amp; Code Quality</x:v>
      </x:c>
      <x:c r="C447" s="62" t="str">
        <x:v>Testing &amp; Code Quality</x:v>
      </x:c>
      <x:c r="D447" s="62" t="str">
        <x:v>RAP business-object tests</x:v>
      </x:c>
      <x:c r="E447" s="62" t="str">
        <x:v>For “RAP business-object tests”: explain its purpose and key rules, demonstrate a small example or trace, handle one common edge case/failure, and name a relevant best practice or trade-off.</x:v>
      </x:c>
      <x:c r="F447" s="62" t="str">
        <x:v>Core</x:v>
      </x:c>
      <x:c r="G447" s="62" t="str">
        <x:v>P1</x:v>
      </x:c>
      <x:c r="H447" s="62" t="str">
        <x:v>Not Started</x:v>
      </x:c>
      <x:c r="I447" s="62"/>
      <x:c r="J447" s="66"/>
      <x:c r="K447" s="62" t="str"/>
      <x:c r="L447" s="62" t="str">
        <x:v>RAP tutorials (Resources)</x:v>
      </x:c>
    </x:row>
    <x:row r="448" ht="40" customHeight="1">
      <x:c r="A448" s="62" t="str">
        <x:v>ABAP-444</x:v>
      </x:c>
      <x:c r="B448" s="62" t="str">
        <x:v>28 | Testing &amp; Code Quality</x:v>
      </x:c>
      <x:c r="C448" s="62" t="str">
        <x:v>Testing &amp; Code Quality</x:v>
      </x:c>
      <x:c r="D448" s="62" t="str">
        <x:v>ABAP Test Cockpit (ATC)</x:v>
      </x:c>
      <x:c r="E448" s="62" t="str">
        <x:v>For “ABAP Test Cockpit (ATC)”: explain its purpose and key rules, demonstrate a small example or trace, handle one common edge case/failure, and name a relevant best practice or trade-off.</x:v>
      </x:c>
      <x:c r="F448" s="62" t="str">
        <x:v>Core</x:v>
      </x:c>
      <x:c r="G448" s="62" t="str">
        <x:v>P1</x:v>
      </x:c>
      <x:c r="H448" s="62" t="str">
        <x:v>Not Started</x:v>
      </x:c>
      <x:c r="I448" s="62"/>
      <x:c r="J448" s="66"/>
      <x:c r="K448" s="62" t="str"/>
      <x:c r="L448" s="62" t="str">
        <x:v>ABAP Unit resources (Resources)</x:v>
      </x:c>
    </x:row>
    <x:row r="449" ht="40" customHeight="1">
      <x:c r="A449" s="62" t="str">
        <x:v>ABAP-445</x:v>
      </x:c>
      <x:c r="B449" s="62" t="str">
        <x:v>28 | Testing &amp; Code Quality</x:v>
      </x:c>
      <x:c r="C449" s="62" t="str">
        <x:v>Testing &amp; Code Quality</x:v>
      </x:c>
      <x:c r="D449" s="62" t="str">
        <x:v>Code Inspector (SCI) and variants</x:v>
      </x:c>
      <x:c r="E449" s="62" t="str">
        <x:v>For “Code Inspector (SCI) and variants”: explain its purpose and key rules, demonstrate a small example or trace, handle one common edge case/failure, and name a relevant best practice or trade-off.</x:v>
      </x:c>
      <x:c r="F449" s="62" t="str">
        <x:v>Core</x:v>
      </x:c>
      <x:c r="G449" s="62" t="str">
        <x:v>P1</x:v>
      </x:c>
      <x:c r="H449" s="62" t="str">
        <x:v>Not Started</x:v>
      </x:c>
      <x:c r="I449" s="62"/>
      <x:c r="J449" s="66"/>
      <x:c r="K449" s="62" t="str"/>
      <x:c r="L449" s="62" t="str"/>
    </x:row>
    <x:row r="450" ht="40" customHeight="1">
      <x:c r="A450" s="62" t="str">
        <x:v>ABAP-446</x:v>
      </x:c>
      <x:c r="B450" s="62" t="str">
        <x:v>28 | Testing &amp; Code Quality</x:v>
      </x:c>
      <x:c r="C450" s="62" t="str">
        <x:v>Testing &amp; Code Quality</x:v>
      </x:c>
      <x:c r="D450" s="62" t="str">
        <x:v>Extended Program Check and syntax warnings</x:v>
      </x:c>
      <x:c r="E450" s="62" t="str">
        <x:v>For “Extended Program Check and syntax warnings”: explain its purpose and key rules, demonstrate a small example or trace, handle one common edge case/failure, and name a relevant best practice or trade-off.</x:v>
      </x:c>
      <x:c r="F450" s="62" t="str">
        <x:v>Core</x:v>
      </x:c>
      <x:c r="G450" s="62" t="str">
        <x:v>P2</x:v>
      </x:c>
      <x:c r="H450" s="62" t="str">
        <x:v>Not Started</x:v>
      </x:c>
      <x:c r="I450" s="62"/>
      <x:c r="J450" s="66"/>
      <x:c r="K450" s="62" t="str"/>
      <x:c r="L450" s="62" t="str"/>
    </x:row>
    <x:row r="451" ht="40" customHeight="1">
      <x:c r="A451" s="62" t="str">
        <x:v>ABAP-447</x:v>
      </x:c>
      <x:c r="B451" s="62" t="str">
        <x:v>28 | Testing &amp; Code Quality</x:v>
      </x:c>
      <x:c r="C451" s="62" t="str">
        <x:v>Testing &amp; Code Quality</x:v>
      </x:c>
      <x:c r="D451" s="62" t="str">
        <x:v>Regression testing and transport test evidence</x:v>
      </x:c>
      <x:c r="E451" s="62" t="str">
        <x:v>For “Regression testing and transport test evidence”: explain its purpose and key rules, demonstrate a small example or trace, handle one common edge case/failure, and name a relevant best practice or trade-off.</x:v>
      </x:c>
      <x:c r="F451" s="62" t="str">
        <x:v>Core</x:v>
      </x:c>
      <x:c r="G451" s="62" t="str">
        <x:v>P1</x:v>
      </x:c>
      <x:c r="H451" s="62" t="str">
        <x:v>Not Started</x:v>
      </x:c>
      <x:c r="I451" s="62"/>
      <x:c r="J451" s="66"/>
      <x:c r="K451" s="62" t="str"/>
      <x:c r="L451" s="62" t="str">
        <x:v>ABAP Unit resources (Resources)</x:v>
      </x:c>
    </x:row>
    <x:row r="452" ht="40" customHeight="1">
      <x:c r="A452" s="62" t="str">
        <x:v>ABAP-448</x:v>
      </x:c>
      <x:c r="B452" s="62" t="str">
        <x:v>28 | Testing &amp; Code Quality</x:v>
      </x:c>
      <x:c r="C452" s="62" t="str">
        <x:v>Testing &amp; Code Quality</x:v>
      </x:c>
      <x:c r="D452" s="62" t="str">
        <x:v>Code review checklist and naming/readability</x:v>
      </x:c>
      <x:c r="E452" s="62" t="str">
        <x:v>For “Code review checklist and naming/readability”: explain its purpose and key rules, demonstrate a small example or trace, handle one common edge case/failure, and name a relevant best practice or trade-off.</x:v>
      </x:c>
      <x:c r="F452" s="62" t="str">
        <x:v>Core</x:v>
      </x:c>
      <x:c r="G452" s="62" t="str">
        <x:v>P1</x:v>
      </x:c>
      <x:c r="H452" s="62" t="str">
        <x:v>Not Started</x:v>
      </x:c>
      <x:c r="I452" s="62"/>
      <x:c r="J452" s="66"/>
      <x:c r="K452" s="62" t="str"/>
      <x:c r="L452" s="62" t="str"/>
    </x:row>
    <x:row r="453" ht="40" customHeight="1">
      <x:c r="A453" s="62" t="str">
        <x:v>ABAP-449</x:v>
      </x:c>
      <x:c r="B453" s="62" t="str">
        <x:v>28 | Testing &amp; Code Quality</x:v>
      </x:c>
      <x:c r="C453" s="62" t="str">
        <x:v>Testing &amp; Code Quality</x:v>
      </x:c>
      <x:c r="D453" s="62" t="str">
        <x:v>Static checks for performance, security and cloud readiness</x:v>
      </x:c>
      <x:c r="E453" s="62" t="str">
        <x:v>For “Static checks for performance, security and cloud readiness”: explain its purpose and key rules, demonstrate a small example or trace, handle one common edge case/failure, and name a relevant best practice or trade-off.</x:v>
      </x:c>
      <x:c r="F453" s="62" t="str">
        <x:v>Core</x:v>
      </x:c>
      <x:c r="G453" s="62" t="str">
        <x:v>P1</x:v>
      </x:c>
      <x:c r="H453" s="62" t="str">
        <x:v>Not Started</x:v>
      </x:c>
      <x:c r="I453" s="62"/>
      <x:c r="J453" s="66"/>
      <x:c r="K453" s="62" t="str"/>
      <x:c r="L453" s="62" t="str"/>
    </x:row>
    <x:row r="454" ht="40" customHeight="1">
      <x:c r="A454" s="62" t="str">
        <x:v>ABAP-450</x:v>
      </x:c>
      <x:c r="B454" s="62" t="str">
        <x:v>28 | Testing &amp; Code Quality</x:v>
      </x:c>
      <x:c r="C454" s="62" t="str">
        <x:v>Testing &amp; Code Quality</x:v>
      </x:c>
      <x:c r="D454" s="62" t="str">
        <x:v>Test data design, masking and reproducibility</x:v>
      </x:c>
      <x:c r="E454" s="62" t="str">
        <x:v>For “Test data design, masking and reproducibility”: explain its purpose and key rules, demonstrate a small example or trace, handle one common edge case/failure, and name a relevant best practice or trade-off.</x:v>
      </x:c>
      <x:c r="F454" s="62" t="str">
        <x:v>Core</x:v>
      </x:c>
      <x:c r="G454" s="62" t="str">
        <x:v>P1</x:v>
      </x:c>
      <x:c r="H454" s="62" t="str">
        <x:v>Not Started</x:v>
      </x:c>
      <x:c r="I454" s="62"/>
      <x:c r="J454" s="66"/>
      <x:c r="K454" s="62" t="str"/>
      <x:c r="L454" s="62" t="str">
        <x:v>ABAP Unit resources (Resources)</x:v>
      </x:c>
    </x:row>
    <x:row r="455" ht="40" customHeight="1">
      <x:c r="A455" s="62" t="str">
        <x:v>ABAP-451</x:v>
      </x:c>
      <x:c r="B455" s="62" t="str">
        <x:v>29 | Integration Architecture &amp; Modern Connectivity</x:v>
      </x:c>
      <x:c r="C455" s="62" t="str">
        <x:v>Integration Architecture &amp; Modern Connectivity</x:v>
      </x:c>
      <x:c r="D455" s="62" t="str">
        <x:v>Synchronous API vs asynchronous messaging</x:v>
      </x:c>
      <x:c r="E455" s="62" t="str">
        <x:v>For “Synchronous API vs asynchronous messaging”: explain its purpose and key rules, demonstrate a small example or trace, handle one common edge case/failure, and name a relevant best practice or trade-off.</x:v>
      </x:c>
      <x:c r="F455" s="62" t="str">
        <x:v>Advanced</x:v>
      </x:c>
      <x:c r="G455" s="62" t="str">
        <x:v>P1</x:v>
      </x:c>
      <x:c r="H455" s="62" t="str">
        <x:v>Not Started</x:v>
      </x:c>
      <x:c r="I455" s="62"/>
      <x:c r="J455" s="66"/>
      <x:c r="K455" s="62" t="str"/>
      <x:c r="L455" s="62" t="str"/>
    </x:row>
    <x:row r="456" ht="40" customHeight="1">
      <x:c r="A456" s="62" t="str">
        <x:v>ABAP-452</x:v>
      </x:c>
      <x:c r="B456" s="62" t="str">
        <x:v>29 | Integration Architecture &amp; Modern Connectivity</x:v>
      </x:c>
      <x:c r="C456" s="62" t="str">
        <x:v>Integration Architecture &amp; Modern Connectivity</x:v>
      </x:c>
      <x:c r="D456" s="62" t="str">
        <x:v>REST/HTTP methods, status codes and headers</x:v>
      </x:c>
      <x:c r="E456" s="62" t="str">
        <x:v>For “REST/HTTP methods, status codes and headers”: explain its purpose and key rules, demonstrate a small example or trace, handle one common edge case/failure, and name a relevant best practice or trade-off.</x:v>
      </x:c>
      <x:c r="F456" s="62" t="str">
        <x:v>Advanced</x:v>
      </x:c>
      <x:c r="G456" s="62" t="str">
        <x:v>P1</x:v>
      </x:c>
      <x:c r="H456" s="62" t="str">
        <x:v>Not Started</x:v>
      </x:c>
      <x:c r="I456" s="62"/>
      <x:c r="J456" s="66"/>
      <x:c r="K456" s="62" t="str"/>
      <x:c r="L456" s="62" t="str"/>
    </x:row>
    <x:row r="457" ht="40" customHeight="1">
      <x:c r="A457" s="62" t="str">
        <x:v>ABAP-453</x:v>
      </x:c>
      <x:c r="B457" s="62" t="str">
        <x:v>29 | Integration Architecture &amp; Modern Connectivity</x:v>
      </x:c>
      <x:c r="C457" s="62" t="str">
        <x:v>Integration Architecture &amp; Modern Connectivity</x:v>
      </x:c>
      <x:c r="D457" s="62" t="str">
        <x:v>SOAP web services and service consumer/provider concepts</x:v>
      </x:c>
      <x:c r="E457" s="62" t="str">
        <x:v>For “SOAP web services and service consumer/provider concepts”: explain its purpose and key rules, demonstrate a small example or trace, handle one common edge case/failure, and name a relevant best practice or trade-off.</x:v>
      </x:c>
      <x:c r="F457" s="62" t="str">
        <x:v>Advanced</x:v>
      </x:c>
      <x:c r="G457" s="62" t="str">
        <x:v>P2</x:v>
      </x:c>
      <x:c r="H457" s="62" t="str">
        <x:v>Not Started</x:v>
      </x:c>
      <x:c r="I457" s="62"/>
      <x:c r="J457" s="66"/>
      <x:c r="K457" s="62" t="str"/>
      <x:c r="L457" s="62" t="str"/>
    </x:row>
    <x:row r="458" ht="40" customHeight="1">
      <x:c r="A458" s="62" t="str">
        <x:v>ABAP-454</x:v>
      </x:c>
      <x:c r="B458" s="62" t="str">
        <x:v>29 | Integration Architecture &amp; Modern Connectivity</x:v>
      </x:c>
      <x:c r="C458" s="62" t="str">
        <x:v>Integration Architecture &amp; Modern Connectivity</x:v>
      </x:c>
      <x:c r="D458" s="62" t="str">
        <x:v>JSON/XML serialization and schema validation</x:v>
      </x:c>
      <x:c r="E458" s="62" t="str">
        <x:v>For “JSON/XML serialization and schema validation”: explain its purpose and key rules, demonstrate a small example or trace, handle one common edge case/failure, and name a relevant best practice or trade-off.</x:v>
      </x:c>
      <x:c r="F458" s="62" t="str">
        <x:v>Advanced</x:v>
      </x:c>
      <x:c r="G458" s="62" t="str">
        <x:v>P1</x:v>
      </x:c>
      <x:c r="H458" s="62" t="str">
        <x:v>Not Started</x:v>
      </x:c>
      <x:c r="I458" s="62"/>
      <x:c r="J458" s="66"/>
      <x:c r="K458" s="62" t="str"/>
      <x:c r="L458" s="62" t="str"/>
    </x:row>
    <x:row r="459" ht="40" customHeight="1">
      <x:c r="A459" s="62" t="str">
        <x:v>ABAP-455</x:v>
      </x:c>
      <x:c r="B459" s="62" t="str">
        <x:v>29 | Integration Architecture &amp; Modern Connectivity</x:v>
      </x:c>
      <x:c r="C459" s="62" t="str">
        <x:v>Integration Architecture &amp; Modern Connectivity</x:v>
      </x:c>
      <x:c r="D459" s="62" t="str">
        <x:v>HTTP client classes and destination services</x:v>
      </x:c>
      <x:c r="E459" s="62" t="str">
        <x:v>For “HTTP client classes and destination services”: explain its purpose and key rules, demonstrate a small example or trace, handle one common edge case/failure, and name a relevant best practice or trade-off.</x:v>
      </x:c>
      <x:c r="F459" s="62" t="str">
        <x:v>Advanced</x:v>
      </x:c>
      <x:c r="G459" s="62" t="str">
        <x:v>P2</x:v>
      </x:c>
      <x:c r="H459" s="62" t="str">
        <x:v>Not Started</x:v>
      </x:c>
      <x:c r="I459" s="62"/>
      <x:c r="J459" s="66"/>
      <x:c r="K459" s="62" t="str"/>
      <x:c r="L459" s="62" t="str"/>
    </x:row>
    <x:row r="460" ht="40" customHeight="1">
      <x:c r="A460" s="62" t="str">
        <x:v>ABAP-456</x:v>
      </x:c>
      <x:c r="B460" s="62" t="str">
        <x:v>29 | Integration Architecture &amp; Modern Connectivity</x:v>
      </x:c>
      <x:c r="C460" s="62" t="str">
        <x:v>Integration Architecture &amp; Modern Connectivity</x:v>
      </x:c>
      <x:c r="D460" s="62" t="str">
        <x:v>SM59 destinations and connection tests</x:v>
      </x:c>
      <x:c r="E460" s="62" t="str">
        <x:v>For “SM59 destinations and connection tests”: explain its purpose and key rules, demonstrate a small example or trace, handle one common edge case/failure, and name a relevant best practice or trade-off.</x:v>
      </x:c>
      <x:c r="F460" s="62" t="str">
        <x:v>Advanced</x:v>
      </x:c>
      <x:c r="G460" s="62" t="str">
        <x:v>P1</x:v>
      </x:c>
      <x:c r="H460" s="62" t="str">
        <x:v>Not Started</x:v>
      </x:c>
      <x:c r="I460" s="62"/>
      <x:c r="J460" s="66"/>
      <x:c r="K460" s="62" t="str"/>
      <x:c r="L460" s="62" t="str">
        <x:v>ABAP Unit resources (Resources)</x:v>
      </x:c>
    </x:row>
    <x:row r="461" ht="40" customHeight="1">
      <x:c r="A461" s="62" t="str">
        <x:v>ABAP-457</x:v>
      </x:c>
      <x:c r="B461" s="62" t="str">
        <x:v>29 | Integration Architecture &amp; Modern Connectivity</x:v>
      </x:c>
      <x:c r="C461" s="62" t="str">
        <x:v>Integration Architecture &amp; Modern Connectivity</x:v>
      </x:c>
      <x:c r="D461" s="62" t="str">
        <x:v>SAP Integration Suite / Cloud Integration (CPI) fundamentals</x:v>
      </x:c>
      <x:c r="E461" s="62" t="str">
        <x:v>For “SAP Integration Suite / Cloud Integration (CPI) fundamentals”: explain its purpose and key rules, demonstrate a small example or trace, handle one common edge case/failure, and name a relevant best practice or trade-off.</x:v>
      </x:c>
      <x:c r="F461" s="62" t="str">
        <x:v>Advanced</x:v>
      </x:c>
      <x:c r="G461" s="62" t="str">
        <x:v>P1</x:v>
      </x:c>
      <x:c r="H461" s="62" t="str">
        <x:v>Not Started</x:v>
      </x:c>
      <x:c r="I461" s="62"/>
      <x:c r="J461" s="66"/>
      <x:c r="K461" s="62" t="str"/>
      <x:c r="L461" s="62" t="str"/>
    </x:row>
    <x:row r="462" ht="40" customHeight="1">
      <x:c r="A462" s="62" t="str">
        <x:v>ABAP-458</x:v>
      </x:c>
      <x:c r="B462" s="62" t="str">
        <x:v>29 | Integration Architecture &amp; Modern Connectivity</x:v>
      </x:c>
      <x:c r="C462" s="62" t="str">
        <x:v>Integration Architecture &amp; Modern Connectivity</x:v>
      </x:c>
      <x:c r="D462" s="62" t="str">
        <x:v>PI/PO legacy architecture and monitoring awareness</x:v>
      </x:c>
      <x:c r="E462" s="62" t="str">
        <x:v>For “PI/PO legacy architecture and monitoring awareness”: explain its purpose and key rules, demonstrate a small example or trace, handle one common edge case/failure, and name a relevant best practice or trade-off.</x:v>
      </x:c>
      <x:c r="F462" s="62" t="str">
        <x:v>Advanced</x:v>
      </x:c>
      <x:c r="G462" s="62" t="str">
        <x:v>P2</x:v>
      </x:c>
      <x:c r="H462" s="62" t="str">
        <x:v>Not Started</x:v>
      </x:c>
      <x:c r="I462" s="62"/>
      <x:c r="J462" s="66"/>
      <x:c r="K462" s="62" t="str"/>
      <x:c r="L462" s="62" t="str"/>
    </x:row>
    <x:row r="463" ht="40" customHeight="1">
      <x:c r="A463" s="62" t="str">
        <x:v>ABAP-459</x:v>
      </x:c>
      <x:c r="B463" s="62" t="str">
        <x:v>29 | Integration Architecture &amp; Modern Connectivity</x:v>
      </x:c>
      <x:c r="C463" s="62" t="str">
        <x:v>Integration Architecture &amp; Modern Connectivity</x:v>
      </x:c>
      <x:c r="D463" s="62" t="str">
        <x:v>EDI message mapping and partner onboarding concepts</x:v>
      </x:c>
      <x:c r="E463" s="62" t="str">
        <x:v>For “EDI message mapping and partner onboarding concepts”: explain its purpose and key rules, demonstrate a small example or trace, handle one common edge case/failure, and name a relevant best practice or trade-off.</x:v>
      </x:c>
      <x:c r="F463" s="62" t="str">
        <x:v>Advanced</x:v>
      </x:c>
      <x:c r="G463" s="62" t="str">
        <x:v>P2</x:v>
      </x:c>
      <x:c r="H463" s="62" t="str">
        <x:v>Not Started</x:v>
      </x:c>
      <x:c r="I463" s="62"/>
      <x:c r="J463" s="66"/>
      <x:c r="K463" s="62" t="str"/>
      <x:c r="L463" s="62" t="str"/>
    </x:row>
    <x:row r="464" ht="40" customHeight="1">
      <x:c r="A464" s="62" t="str">
        <x:v>ABAP-460</x:v>
      </x:c>
      <x:c r="B464" s="62" t="str">
        <x:v>29 | Integration Architecture &amp; Modern Connectivity</x:v>
      </x:c>
      <x:c r="C464" s="62" t="str">
        <x:v>Integration Architecture &amp; Modern Connectivity</x:v>
      </x:c>
      <x:c r="D464" s="62" t="str">
        <x:v>IDoc through middleware and message correlation</x:v>
      </x:c>
      <x:c r="E464" s="62" t="str">
        <x:v>For “IDoc through middleware and message correlation”: explain its purpose and key rules, demonstrate a small example or trace, handle one common edge case/failure, and name a relevant best practice or trade-off.</x:v>
      </x:c>
      <x:c r="F464" s="62" t="str">
        <x:v>Advanced</x:v>
      </x:c>
      <x:c r="G464" s="62" t="str">
        <x:v>P1</x:v>
      </x:c>
      <x:c r="H464" s="62" t="str">
        <x:v>Not Started</x:v>
      </x:c>
      <x:c r="I464" s="62"/>
      <x:c r="J464" s="66"/>
      <x:c r="K464" s="62" t="str"/>
      <x:c r="L464" s="62" t="str"/>
    </x:row>
    <x:row r="465" ht="40" customHeight="1">
      <x:c r="A465" s="62" t="str">
        <x:v>ABAP-461</x:v>
      </x:c>
      <x:c r="B465" s="62" t="str">
        <x:v>29 | Integration Architecture &amp; Modern Connectivity</x:v>
      </x:c>
      <x:c r="C465" s="62" t="str">
        <x:v>Integration Architecture &amp; Modern Connectivity</x:v>
      </x:c>
      <x:c r="D465" s="62" t="str">
        <x:v>OAuth, certificates, TLS and secret handling awareness</x:v>
      </x:c>
      <x:c r="E465" s="62" t="str">
        <x:v>For “OAuth, certificates, TLS and secret handling awareness”: explain its purpose and key rules, demonstrate a small example or trace, handle one common edge case/failure, and name a relevant best practice or trade-off.</x:v>
      </x:c>
      <x:c r="F465" s="62" t="str">
        <x:v>Advanced</x:v>
      </x:c>
      <x:c r="G465" s="62" t="str">
        <x:v>P2</x:v>
      </x:c>
      <x:c r="H465" s="62" t="str">
        <x:v>Not Started</x:v>
      </x:c>
      <x:c r="I465" s="62"/>
      <x:c r="J465" s="66"/>
      <x:c r="K465" s="62" t="str"/>
      <x:c r="L465" s="62" t="str"/>
    </x:row>
    <x:row r="466" ht="40" customHeight="1">
      <x:c r="A466" s="62" t="str">
        <x:v>ABAP-462</x:v>
      </x:c>
      <x:c r="B466" s="62" t="str">
        <x:v>29 | Integration Architecture &amp; Modern Connectivity</x:v>
      </x:c>
      <x:c r="C466" s="62" t="str">
        <x:v>Integration Architecture &amp; Modern Connectivity</x:v>
      </x:c>
      <x:c r="D466" s="62" t="str">
        <x:v>Retries, timeout design and idempotency</x:v>
      </x:c>
      <x:c r="E466" s="62" t="str">
        <x:v>For “Retries, timeout design and idempotency”: explain its purpose and key rules, demonstrate a small example or trace, handle one common edge case/failure, and name a relevant best practice or trade-off.</x:v>
      </x:c>
      <x:c r="F466" s="62" t="str">
        <x:v>Advanced</x:v>
      </x:c>
      <x:c r="G466" s="62" t="str">
        <x:v>P1</x:v>
      </x:c>
      <x:c r="H466" s="62" t="str">
        <x:v>Not Started</x:v>
      </x:c>
      <x:c r="I466" s="62"/>
      <x:c r="J466" s="66"/>
      <x:c r="K466" s="62" t="str"/>
      <x:c r="L466" s="62" t="str"/>
    </x:row>
    <x:row r="467" ht="40" customHeight="1">
      <x:c r="A467" s="62" t="str">
        <x:v>ABAP-463</x:v>
      </x:c>
      <x:c r="B467" s="62" t="str">
        <x:v>29 | Integration Architecture &amp; Modern Connectivity</x:v>
      </x:c>
      <x:c r="C467" s="62" t="str">
        <x:v>Integration Architecture &amp; Modern Connectivity</x:v>
      </x:c>
      <x:c r="D467" s="62" t="str">
        <x:v>Event-driven integration and SAP Event Mesh awareness</x:v>
      </x:c>
      <x:c r="E467" s="62" t="str">
        <x:v>For “Event-driven integration and SAP Event Mesh awareness”: explain its purpose and key rules, demonstrate a small example or trace, handle one common edge case/failure, and name a relevant best practice or trade-off.</x:v>
      </x:c>
      <x:c r="F467" s="62" t="str">
        <x:v>Advanced</x:v>
      </x:c>
      <x:c r="G467" s="62" t="str">
        <x:v>P3</x:v>
      </x:c>
      <x:c r="H467" s="62" t="str">
        <x:v>Not Started</x:v>
      </x:c>
      <x:c r="I467" s="62"/>
      <x:c r="J467" s="66"/>
      <x:c r="K467" s="62" t="str"/>
      <x:c r="L467" s="62" t="str"/>
    </x:row>
    <x:row r="468" ht="40" customHeight="1">
      <x:c r="A468" s="62" t="str">
        <x:v>ABAP-464</x:v>
      </x:c>
      <x:c r="B468" s="62" t="str">
        <x:v>30 | Transport, Git &amp; Delivery Practices</x:v>
      </x:c>
      <x:c r="C468" s="62" t="str">
        <x:v>Transport, Git &amp; Delivery Practices</x:v>
      </x:c>
      <x:c r="D468" s="62" t="str">
        <x:v>CTS requests, tasks and object assignment</x:v>
      </x:c>
      <x:c r="E468" s="62" t="str">
        <x:v>For “CTS requests, tasks and object assignment”: explain its purpose and key rules, demonstrate a small example or trace, handle one common edge case/failure, and name a relevant best practice or trade-off.</x:v>
      </x:c>
      <x:c r="F468" s="62" t="str">
        <x:v>Intermediate</x:v>
      </x:c>
      <x:c r="G468" s="62" t="str">
        <x:v>P1</x:v>
      </x:c>
      <x:c r="H468" s="62" t="str">
        <x:v>Not Started</x:v>
      </x:c>
      <x:c r="I468" s="62"/>
      <x:c r="J468" s="66"/>
      <x:c r="K468" s="62" t="str"/>
      <x:c r="L468" s="62" t="str"/>
    </x:row>
    <x:row r="469" ht="40" customHeight="1">
      <x:c r="A469" s="62" t="str">
        <x:v>ABAP-465</x:v>
      </x:c>
      <x:c r="B469" s="62" t="str">
        <x:v>30 | Transport, Git &amp; Delivery Practices</x:v>
      </x:c>
      <x:c r="C469" s="62" t="str">
        <x:v>Transport, Git &amp; Delivery Practices</x:v>
      </x:c>
      <x:c r="D469" s="62" t="str">
        <x:v>Releasing requests and import sequencing</x:v>
      </x:c>
      <x:c r="E469" s="62" t="str">
        <x:v>For “Releasing requests and import sequencing”: explain its purpose and key rules, demonstrate a small example or trace, handle one common edge case/failure, and name a relevant best practice or trade-off.</x:v>
      </x:c>
      <x:c r="F469" s="62" t="str">
        <x:v>Intermediate</x:v>
      </x:c>
      <x:c r="G469" s="62" t="str">
        <x:v>P1</x:v>
      </x:c>
      <x:c r="H469" s="62" t="str">
        <x:v>Not Started</x:v>
      </x:c>
      <x:c r="I469" s="62"/>
      <x:c r="J469" s="66"/>
      <x:c r="K469" s="62" t="str"/>
      <x:c r="L469" s="62" t="str"/>
    </x:row>
    <x:row r="470" ht="40" customHeight="1">
      <x:c r="A470" s="62" t="str">
        <x:v>ABAP-466</x:v>
      </x:c>
      <x:c r="B470" s="62" t="str">
        <x:v>30 | Transport, Git &amp; Delivery Practices</x:v>
      </x:c>
      <x:c r="C470" s="62" t="str">
        <x:v>Transport, Git &amp; Delivery Practices</x:v>
      </x:c>
      <x:c r="D470" s="62" t="str">
        <x:v>STMS import queues, logs and return codes</x:v>
      </x:c>
      <x:c r="E470" s="62" t="str">
        <x:v>For “STMS import queues, logs and return codes”: explain its purpose and key rules, demonstrate a small example or trace, handle one common edge case/failure, and name a relevant best practice or trade-off.</x:v>
      </x:c>
      <x:c r="F470" s="62" t="str">
        <x:v>Intermediate</x:v>
      </x:c>
      <x:c r="G470" s="62" t="str">
        <x:v>P1</x:v>
      </x:c>
      <x:c r="H470" s="62" t="str">
        <x:v>Not Started</x:v>
      </x:c>
      <x:c r="I470" s="62"/>
      <x:c r="J470" s="66"/>
      <x:c r="K470" s="62" t="str"/>
      <x:c r="L470" s="62" t="str"/>
    </x:row>
    <x:row r="471" ht="40" customHeight="1">
      <x:c r="A471" s="62" t="str">
        <x:v>ABAP-467</x:v>
      </x:c>
      <x:c r="B471" s="62" t="str">
        <x:v>30 | Transport, Git &amp; Delivery Practices</x:v>
      </x:c>
      <x:c r="C471" s="62" t="str">
        <x:v>Transport, Git &amp; Delivery Practices</x:v>
      </x:c>
      <x:c r="D471" s="62" t="str">
        <x:v>Transport dependencies and missing-object troubleshooting</x:v>
      </x:c>
      <x:c r="E471" s="62" t="str">
        <x:v>For “Transport dependencies and missing-object troubleshooting”: explain its purpose and key rules, demonstrate a small example or trace, handle one common edge case/failure, and name a relevant best practice or trade-off.</x:v>
      </x:c>
      <x:c r="F471" s="62" t="str">
        <x:v>Intermediate</x:v>
      </x:c>
      <x:c r="G471" s="62" t="str">
        <x:v>P1</x:v>
      </x:c>
      <x:c r="H471" s="62" t="str">
        <x:v>Not Started</x:v>
      </x:c>
      <x:c r="I471" s="62"/>
      <x:c r="J471" s="66"/>
      <x:c r="K471" s="62" t="str"/>
      <x:c r="L471" s="62" t="str"/>
    </x:row>
    <x:row r="472" ht="40" customHeight="1">
      <x:c r="A472" s="62" t="str">
        <x:v>ABAP-468</x:v>
      </x:c>
      <x:c r="B472" s="62" t="str">
        <x:v>30 | Transport, Git &amp; Delivery Practices</x:v>
      </x:c>
      <x:c r="C472" s="62" t="str">
        <x:v>Transport, Git &amp; Delivery Practices</x:v>
      </x:c>
      <x:c r="D472" s="62" t="str">
        <x:v>Cross-system configuration and environment differences</x:v>
      </x:c>
      <x:c r="E472" s="62" t="str">
        <x:v>For “Cross-system configuration and environment differences”: explain its purpose and key rules, demonstrate a small example or trace, handle one common edge case/failure, and name a relevant best practice or trade-off.</x:v>
      </x:c>
      <x:c r="F472" s="62" t="str">
        <x:v>Intermediate</x:v>
      </x:c>
      <x:c r="G472" s="62" t="str">
        <x:v>P1</x:v>
      </x:c>
      <x:c r="H472" s="62" t="str">
        <x:v>Not Started</x:v>
      </x:c>
      <x:c r="I472" s="62"/>
      <x:c r="J472" s="66"/>
      <x:c r="K472" s="62" t="str"/>
      <x:c r="L472" s="62" t="str"/>
    </x:row>
    <x:row r="473" ht="40" customHeight="1">
      <x:c r="A473" s="62" t="str">
        <x:v>ABAP-469</x:v>
      </x:c>
      <x:c r="B473" s="62" t="str">
        <x:v>30 | Transport, Git &amp; Delivery Practices</x:v>
      </x:c>
      <x:c r="C473" s="62" t="str">
        <x:v>Transport, Git &amp; Delivery Practices</x:v>
      </x:c>
      <x:c r="D473" s="62" t="str">
        <x:v>Retrofit and dual-track development awareness</x:v>
      </x:c>
      <x:c r="E473" s="62" t="str">
        <x:v>For “Retrofit and dual-track development awareness”: explain its purpose and key rules, demonstrate a small example or trace, handle one common edge case/failure, and name a relevant best practice or trade-off.</x:v>
      </x:c>
      <x:c r="F473" s="62" t="str">
        <x:v>Specialized</x:v>
      </x:c>
      <x:c r="G473" s="62" t="str">
        <x:v>P3</x:v>
      </x:c>
      <x:c r="H473" s="62" t="str">
        <x:v>Not Started</x:v>
      </x:c>
      <x:c r="I473" s="62"/>
      <x:c r="J473" s="66"/>
      <x:c r="K473" s="62" t="str"/>
      <x:c r="L473" s="62" t="str"/>
    </x:row>
    <x:row r="474" ht="40" customHeight="1">
      <x:c r="A474" s="62" t="str">
        <x:v>ABAP-470</x:v>
      </x:c>
      <x:c r="B474" s="62" t="str">
        <x:v>30 | Transport, Git &amp; Delivery Practices</x:v>
      </x:c>
      <x:c r="C474" s="62" t="str">
        <x:v>Transport, Git &amp; Delivery Practices</x:v>
      </x:c>
      <x:c r="D474" s="62" t="str">
        <x:v>ATC before transport and quality gates</x:v>
      </x:c>
      <x:c r="E474" s="62" t="str">
        <x:v>For “ATC before transport and quality gates”: explain its purpose and key rules, demonstrate a small example or trace, handle one common edge case/failure, and name a relevant best practice or trade-off.</x:v>
      </x:c>
      <x:c r="F474" s="62" t="str">
        <x:v>Intermediate</x:v>
      </x:c>
      <x:c r="G474" s="62" t="str">
        <x:v>P1</x:v>
      </x:c>
      <x:c r="H474" s="62" t="str">
        <x:v>Not Started</x:v>
      </x:c>
      <x:c r="I474" s="62"/>
      <x:c r="J474" s="66"/>
      <x:c r="K474" s="62" t="str"/>
      <x:c r="L474" s="62" t="str"/>
    </x:row>
    <x:row r="475" ht="40" customHeight="1">
      <x:c r="A475" s="62" t="str">
        <x:v>ABAP-471</x:v>
      </x:c>
      <x:c r="B475" s="62" t="str">
        <x:v>30 | Transport, Git &amp; Delivery Practices</x:v>
      </x:c>
      <x:c r="C475" s="62" t="str">
        <x:v>Transport, Git &amp; Delivery Practices</x:v>
      </x:c>
      <x:c r="D475" s="62" t="str">
        <x:v>Git basics: clone, branch, commit, merge and conflict resolution</x:v>
      </x:c>
      <x:c r="E475" s="62" t="str">
        <x:v>For “Git basics: clone, branch, commit, merge and conflict resolution”: explain its purpose and key rules, demonstrate a small example or trace, handle one common edge case/failure, and name a relevant best practice or trade-off.</x:v>
      </x:c>
      <x:c r="F475" s="62" t="str">
        <x:v>Intermediate</x:v>
      </x:c>
      <x:c r="G475" s="62" t="str">
        <x:v>P2</x:v>
      </x:c>
      <x:c r="H475" s="62" t="str">
        <x:v>Not Started</x:v>
      </x:c>
      <x:c r="I475" s="62"/>
      <x:c r="J475" s="66"/>
      <x:c r="K475" s="62" t="str"/>
      <x:c r="L475" s="62" t="str"/>
    </x:row>
    <x:row r="476" ht="40" customHeight="1">
      <x:c r="A476" s="62" t="str">
        <x:v>ABAP-472</x:v>
      </x:c>
      <x:c r="B476" s="62" t="str">
        <x:v>30 | Transport, Git &amp; Delivery Practices</x:v>
      </x:c>
      <x:c r="C476" s="62" t="str">
        <x:v>Transport, Git &amp; Delivery Practices</x:v>
      </x:c>
      <x:c r="D476" s="62" t="str">
        <x:v>abapGit purpose and supported workflows</x:v>
      </x:c>
      <x:c r="E476" s="62" t="str">
        <x:v>For “abapGit purpose and supported workflows”: explain its purpose and key rules, demonstrate a small example or trace, handle one common edge case/failure, and name a relevant best practice or trade-off.</x:v>
      </x:c>
      <x:c r="F476" s="62" t="str">
        <x:v>Intermediate</x:v>
      </x:c>
      <x:c r="G476" s="62" t="str">
        <x:v>P2</x:v>
      </x:c>
      <x:c r="H476" s="62" t="str">
        <x:v>Not Started</x:v>
      </x:c>
      <x:c r="I476" s="62"/>
      <x:c r="J476" s="66"/>
      <x:c r="K476" s="62" t="str"/>
      <x:c r="L476" s="62" t="str">
        <x:v>Core ABAP learning journey (Resources)</x:v>
      </x:c>
    </x:row>
    <x:row r="477" ht="40" customHeight="1">
      <x:c r="A477" s="62" t="str">
        <x:v>ABAP-473</x:v>
      </x:c>
      <x:c r="B477" s="62" t="str">
        <x:v>30 | Transport, Git &amp; Delivery Practices</x:v>
      </x:c>
      <x:c r="C477" s="62" t="str">
        <x:v>Transport, Git &amp; Delivery Practices</x:v>
      </x:c>
      <x:c r="D477" s="62" t="str">
        <x:v>Code review and peer-review evidence</x:v>
      </x:c>
      <x:c r="E477" s="62" t="str">
        <x:v>For “Code review and peer-review evidence”: explain its purpose and key rules, demonstrate a small example or trace, handle one common edge case/failure, and name a relevant best practice or trade-off.</x:v>
      </x:c>
      <x:c r="F477" s="62" t="str">
        <x:v>Intermediate</x:v>
      </x:c>
      <x:c r="G477" s="62" t="str">
        <x:v>P1</x:v>
      </x:c>
      <x:c r="H477" s="62" t="str">
        <x:v>Not Started</x:v>
      </x:c>
      <x:c r="I477" s="62"/>
      <x:c r="J477" s="66"/>
      <x:c r="K477" s="62" t="str"/>
      <x:c r="L477" s="62" t="str"/>
    </x:row>
    <x:row r="478" ht="40" customHeight="1">
      <x:c r="A478" s="62" t="str">
        <x:v>ABAP-474</x:v>
      </x:c>
      <x:c r="B478" s="62" t="str">
        <x:v>30 | Transport, Git &amp; Delivery Practices</x:v>
      </x:c>
      <x:c r="C478" s="62" t="str">
        <x:v>Transport, Git &amp; Delivery Practices</x:v>
      </x:c>
      <x:c r="D478" s="62" t="str">
        <x:v>Version comparison and where-used checks before changing interfaces</x:v>
      </x:c>
      <x:c r="E478" s="62" t="str">
        <x:v>For “Version comparison and where-used checks before changing interfaces”: explain its purpose and key rules, demonstrate a small example or trace, handle one common edge case/failure, and name a relevant best practice or trade-off.</x:v>
      </x:c>
      <x:c r="F478" s="62" t="str">
        <x:v>Intermediate</x:v>
      </x:c>
      <x:c r="G478" s="62" t="str">
        <x:v>P1</x:v>
      </x:c>
      <x:c r="H478" s="62" t="str">
        <x:v>Not Started</x:v>
      </x:c>
      <x:c r="I478" s="62"/>
      <x:c r="J478" s="66"/>
      <x:c r="K478" s="62" t="str"/>
      <x:c r="L478" s="62" t="str"/>
    </x:row>
    <x:row r="479" ht="40" customHeight="1">
      <x:c r="A479" s="62" t="str">
        <x:v>ABAP-475</x:v>
      </x:c>
      <x:c r="B479" s="62" t="str">
        <x:v>30 | Transport, Git &amp; Delivery Practices</x:v>
      </x:c>
      <x:c r="C479" s="62" t="str">
        <x:v>Transport, Git &amp; Delivery Practices</x:v>
      </x:c>
      <x:c r="D479" s="62" t="str">
        <x:v>Deployment/activation order for DDIC, CDS, classes and services</x:v>
      </x:c>
      <x:c r="E479" s="62" t="str">
        <x:v>For “Deployment/activation order for DDIC, CDS, classes and services”: explain its purpose and key rules, demonstrate a small example or trace, handle one common edge case/failure, and name a relevant best practice or trade-off.</x:v>
      </x:c>
      <x:c r="F479" s="62" t="str">
        <x:v>Intermediate</x:v>
      </x:c>
      <x:c r="G479" s="62" t="str">
        <x:v>P1</x:v>
      </x:c>
      <x:c r="H479" s="62" t="str">
        <x:v>Not Started</x:v>
      </x:c>
      <x:c r="I479" s="62"/>
      <x:c r="J479" s="66"/>
      <x:c r="K479" s="62" t="str"/>
      <x:c r="L479" s="62" t="str">
        <x:v>CDS documentation (Resources)</x:v>
      </x:c>
    </x:row>
    <x:row r="480" ht="40" customHeight="1">
      <x:c r="A480" s="62" t="str">
        <x:v>ABAP-476</x:v>
      </x:c>
      <x:c r="B480" s="62" t="str">
        <x:v>30 | Transport, Git &amp; Delivery Practices</x:v>
      </x:c>
      <x:c r="C480" s="62" t="str">
        <x:v>Transport, Git &amp; Delivery Practices</x:v>
      </x:c>
      <x:c r="D480" s="62" t="str">
        <x:v>Release notes, technical documentation and handover</x:v>
      </x:c>
      <x:c r="E480" s="62" t="str">
        <x:v>For “Release notes, technical documentation and handover”: explain its purpose and key rules, demonstrate a small example or trace, handle one common edge case/failure, and name a relevant best practice or trade-off.</x:v>
      </x:c>
      <x:c r="F480" s="62" t="str">
        <x:v>Intermediate</x:v>
      </x:c>
      <x:c r="G480" s="62" t="str">
        <x:v>P1</x:v>
      </x:c>
      <x:c r="H480" s="62" t="str">
        <x:v>Not Started</x:v>
      </x:c>
      <x:c r="I480" s="62"/>
      <x:c r="J480" s="66"/>
      <x:c r="K480" s="62" t="str"/>
      <x:c r="L480" s="62" t="str"/>
    </x:row>
    <x:row r="481" ht="40" customHeight="1">
      <x:c r="A481" s="62" t="str">
        <x:v>ABAP-477</x:v>
      </x:c>
      <x:c r="B481" s="62" t="str">
        <x:v>30 | Transport, Git &amp; Delivery Practices</x:v>
      </x:c>
      <x:c r="C481" s="62" t="str">
        <x:v>Transport, Git &amp; Delivery Practices</x:v>
      </x:c>
      <x:c r="D481" s="62" t="str">
        <x:v>Change impact analysis and rollback planning</x:v>
      </x:c>
      <x:c r="E481" s="62" t="str">
        <x:v>For “Change impact analysis and rollback planning”: explain its purpose and key rules, demonstrate a small example or trace, handle one common edge case/failure, and name a relevant best practice or trade-off.</x:v>
      </x:c>
      <x:c r="F481" s="62" t="str">
        <x:v>Intermediate</x:v>
      </x:c>
      <x:c r="G481" s="62" t="str">
        <x:v>P2</x:v>
      </x:c>
      <x:c r="H481" s="62" t="str">
        <x:v>Not Started</x:v>
      </x:c>
      <x:c r="I481" s="62"/>
      <x:c r="J481" s="66"/>
      <x:c r="K481" s="62" t="str"/>
      <x:c r="L481" s="62" t="str"/>
    </x:row>
    <x:row r="482" ht="40" customHeight="1">
      <x:c r="A482" s="62" t="str">
        <x:v>ABAP-478</x:v>
      </x:c>
      <x:c r="B482" s="62" t="str">
        <x:v>30 | Transport, Git &amp; Delivery Practices</x:v>
      </x:c>
      <x:c r="C482" s="62" t="str">
        <x:v>Transport, Git &amp; Delivery Practices</x:v>
      </x:c>
      <x:c r="D482" s="62" t="str">
        <x:v>Agile delivery: refinement, acceptance criteria and estimation</x:v>
      </x:c>
      <x:c r="E482" s="62" t="str">
        <x:v>For “Agile delivery: refinement, acceptance criteria and estimation”: explain its purpose and key rules, demonstrate a small example or trace, handle one common edge case/failure, and name a relevant best practice or trade-off.</x:v>
      </x:c>
      <x:c r="F482" s="62" t="str">
        <x:v>Intermediate</x:v>
      </x:c>
      <x:c r="G482" s="62" t="str">
        <x:v>P2</x:v>
      </x:c>
      <x:c r="H482" s="62" t="str">
        <x:v>Not Started</x:v>
      </x:c>
      <x:c r="I482" s="62"/>
      <x:c r="J482" s="66"/>
      <x:c r="K482" s="62" t="str"/>
      <x:c r="L482" s="62" t="str"/>
    </x:row>
    <x:row r="483" ht="40" customHeight="1">
      <x:c r="A483" s="62" t="str">
        <x:v>ABAP-479</x:v>
      </x:c>
      <x:c r="B483" s="62" t="str">
        <x:v>31 | Architecture, Patterns &amp; Senior-Level Habits</x:v>
      </x:c>
      <x:c r="C483" s="62" t="str">
        <x:v>Architecture, Patterns &amp; Senior-Level Habits</x:v>
      </x:c>
      <x:c r="D483" s="62" t="str">
        <x:v>Requirement analysis and clarification questions</x:v>
      </x:c>
      <x:c r="E483" s="62" t="str">
        <x:v>For “Requirement analysis and clarification questions”: explain its purpose and key rules, demonstrate a small example or trace, handle one common edge case/failure, and name a relevant best practice or trade-off.</x:v>
      </x:c>
      <x:c r="F483" s="62" t="str">
        <x:v>Advanced</x:v>
      </x:c>
      <x:c r="G483" s="62" t="str">
        <x:v>P1</x:v>
      </x:c>
      <x:c r="H483" s="62" t="str">
        <x:v>Not Started</x:v>
      </x:c>
      <x:c r="I483" s="62"/>
      <x:c r="J483" s="66"/>
      <x:c r="K483" s="62" t="str"/>
      <x:c r="L483" s="62" t="str"/>
    </x:row>
    <x:row r="484" ht="40" customHeight="1">
      <x:c r="A484" s="62" t="str">
        <x:v>ABAP-480</x:v>
      </x:c>
      <x:c r="B484" s="62" t="str">
        <x:v>31 | Architecture, Patterns &amp; Senior-Level Habits</x:v>
      </x:c>
      <x:c r="C484" s="62" t="str">
        <x:v>Architecture, Patterns &amp; Senior-Level Habits</x:v>
      </x:c>
      <x:c r="D484" s="62" t="str">
        <x:v>Technical design and mapping from functional specification</x:v>
      </x:c>
      <x:c r="E484" s="62" t="str">
        <x:v>For “Technical design and mapping from functional specification”: explain its purpose and key rules, demonstrate a small example or trace, handle one common edge case/failure, and name a relevant best practice or trade-off.</x:v>
      </x:c>
      <x:c r="F484" s="62" t="str">
        <x:v>Advanced</x:v>
      </x:c>
      <x:c r="G484" s="62" t="str">
        <x:v>P1</x:v>
      </x:c>
      <x:c r="H484" s="62" t="str">
        <x:v>Not Started</x:v>
      </x:c>
      <x:c r="I484" s="62"/>
      <x:c r="J484" s="66"/>
      <x:c r="K484" s="62" t="str"/>
      <x:c r="L484" s="62" t="str"/>
    </x:row>
    <x:row r="485" ht="40" customHeight="1">
      <x:c r="A485" s="62" t="str">
        <x:v>ABAP-481</x:v>
      </x:c>
      <x:c r="B485" s="62" t="str">
        <x:v>31 | Architecture, Patterns &amp; Senior-Level Habits</x:v>
      </x:c>
      <x:c r="C485" s="62" t="str">
        <x:v>Architecture, Patterns &amp; Senior-Level Habits</x:v>
      </x:c>
      <x:c r="D485" s="62" t="str">
        <x:v>Layered architecture: UI, service, domain and persistence</x:v>
      </x:c>
      <x:c r="E485" s="62" t="str">
        <x:v>For “Layered architecture: UI, service, domain and persistence”: explain its purpose and key rules, demonstrate a small example or trace, handle one common edge case/failure, and name a relevant best practice or trade-off.</x:v>
      </x:c>
      <x:c r="F485" s="62" t="str">
        <x:v>Advanced</x:v>
      </x:c>
      <x:c r="G485" s="62" t="str">
        <x:v>P1</x:v>
      </x:c>
      <x:c r="H485" s="62" t="str">
        <x:v>Not Started</x:v>
      </x:c>
      <x:c r="I485" s="62"/>
      <x:c r="J485" s="66"/>
      <x:c r="K485" s="62" t="str"/>
      <x:c r="L485" s="62" t="str"/>
    </x:row>
    <x:row r="486" ht="40" customHeight="1">
      <x:c r="A486" s="62" t="str">
        <x:v>ABAP-482</x:v>
      </x:c>
      <x:c r="B486" s="62" t="str">
        <x:v>31 | Architecture, Patterns &amp; Senior-Level Habits</x:v>
      </x:c>
      <x:c r="C486" s="62" t="str">
        <x:v>Architecture, Patterns &amp; Senior-Level Habits</x:v>
      </x:c>
      <x:c r="D486" s="62" t="str">
        <x:v>Business logic in reusable classes vs report/event code</x:v>
      </x:c>
      <x:c r="E486" s="62" t="str">
        <x:v>For “Business logic in reusable classes vs report/event code”: explain its purpose and key rules, demonstrate a small example or trace, handle one common edge case/failure, and name a relevant best practice or trade-off.</x:v>
      </x:c>
      <x:c r="F486" s="62" t="str">
        <x:v>Advanced</x:v>
      </x:c>
      <x:c r="G486" s="62" t="str">
        <x:v>P1</x:v>
      </x:c>
      <x:c r="H486" s="62" t="str">
        <x:v>Not Started</x:v>
      </x:c>
      <x:c r="I486" s="62"/>
      <x:c r="J486" s="66"/>
      <x:c r="K486" s="62" t="str"/>
      <x:c r="L486" s="62" t="str"/>
    </x:row>
    <x:row r="487" ht="40" customHeight="1">
      <x:c r="A487" s="62" t="str">
        <x:v>ABAP-483</x:v>
      </x:c>
      <x:c r="B487" s="62" t="str">
        <x:v>31 | Architecture, Patterns &amp; Senior-Level Habits</x:v>
      </x:c>
      <x:c r="C487" s="62" t="str">
        <x:v>Architecture, Patterns &amp; Senior-Level Habits</x:v>
      </x:c>
      <x:c r="D487" s="62" t="str">
        <x:v>Separation of concerns and dependency direction</x:v>
      </x:c>
      <x:c r="E487" s="62" t="str">
        <x:v>For “Separation of concerns and dependency direction”: explain its purpose and key rules, demonstrate a small example or trace, handle one common edge case/failure, and name a relevant best practice or trade-off.</x:v>
      </x:c>
      <x:c r="F487" s="62" t="str">
        <x:v>Advanced</x:v>
      </x:c>
      <x:c r="G487" s="62" t="str">
        <x:v>P1</x:v>
      </x:c>
      <x:c r="H487" s="62" t="str">
        <x:v>Not Started</x:v>
      </x:c>
      <x:c r="I487" s="62"/>
      <x:c r="J487" s="66"/>
      <x:c r="K487" s="62" t="str"/>
      <x:c r="L487" s="62" t="str"/>
    </x:row>
    <x:row r="488" ht="40" customHeight="1">
      <x:c r="A488" s="62" t="str">
        <x:v>ABAP-484</x:v>
      </x:c>
      <x:c r="B488" s="62" t="str">
        <x:v>31 | Architecture, Patterns &amp; Senior-Level Habits</x:v>
      </x:c>
      <x:c r="C488" s="62" t="str">
        <x:v>Architecture, Patterns &amp; Senior-Level Habits</x:v>
      </x:c>
      <x:c r="D488" s="62" t="str">
        <x:v>API contracts, compatibility and versioning</x:v>
      </x:c>
      <x:c r="E488" s="62" t="str">
        <x:v>For “API contracts, compatibility and versioning”: explain its purpose and key rules, demonstrate a small example or trace, handle one common edge case/failure, and name a relevant best practice or trade-off.</x:v>
      </x:c>
      <x:c r="F488" s="62" t="str">
        <x:v>Advanced</x:v>
      </x:c>
      <x:c r="G488" s="62" t="str">
        <x:v>P1</x:v>
      </x:c>
      <x:c r="H488" s="62" t="str">
        <x:v>Not Started</x:v>
      </x:c>
      <x:c r="I488" s="62"/>
      <x:c r="J488" s="66"/>
      <x:c r="K488" s="62" t="str"/>
      <x:c r="L488" s="62" t="str"/>
    </x:row>
    <x:row r="489" ht="40" customHeight="1">
      <x:c r="A489" s="62" t="str">
        <x:v>ABAP-485</x:v>
      </x:c>
      <x:c r="B489" s="62" t="str">
        <x:v>31 | Architecture, Patterns &amp; Senior-Level Habits</x:v>
      </x:c>
      <x:c r="C489" s="62" t="str">
        <x:v>Architecture, Patterns &amp; Senior-Level Habits</x:v>
      </x:c>
      <x:c r="D489" s="62" t="str">
        <x:v>Idempotent processing and safe retries</x:v>
      </x:c>
      <x:c r="E489" s="62" t="str">
        <x:v>For “Idempotent processing and safe retries”: explain its purpose and key rules, demonstrate a small example or trace, handle one common edge case/failure, and name a relevant best practice or trade-off.</x:v>
      </x:c>
      <x:c r="F489" s="62" t="str">
        <x:v>Advanced</x:v>
      </x:c>
      <x:c r="G489" s="62" t="str">
        <x:v>P1</x:v>
      </x:c>
      <x:c r="H489" s="62" t="str">
        <x:v>Not Started</x:v>
      </x:c>
      <x:c r="I489" s="62"/>
      <x:c r="J489" s="66"/>
      <x:c r="K489" s="62" t="str"/>
      <x:c r="L489" s="62" t="str"/>
    </x:row>
    <x:row r="490" ht="40" customHeight="1">
      <x:c r="A490" s="62" t="str">
        <x:v>ABAP-486</x:v>
      </x:c>
      <x:c r="B490" s="62" t="str">
        <x:v>31 | Architecture, Patterns &amp; Senior-Level Habits</x:v>
      </x:c>
      <x:c r="C490" s="62" t="str">
        <x:v>Architecture, Patterns &amp; Senior-Level Habits</x:v>
      </x:c>
      <x:c r="D490" s="62" t="str">
        <x:v>Caching and invalidation trade-offs</x:v>
      </x:c>
      <x:c r="E490" s="62" t="str">
        <x:v>For “Caching and invalidation trade-offs”: explain its purpose and key rules, demonstrate a small example or trace, handle one common edge case/failure, and name a relevant best practice or trade-off.</x:v>
      </x:c>
      <x:c r="F490" s="62" t="str">
        <x:v>Advanced</x:v>
      </x:c>
      <x:c r="G490" s="62" t="str">
        <x:v>P2</x:v>
      </x:c>
      <x:c r="H490" s="62" t="str">
        <x:v>Not Started</x:v>
      </x:c>
      <x:c r="I490" s="62"/>
      <x:c r="J490" s="66"/>
      <x:c r="K490" s="62" t="str"/>
      <x:c r="L490" s="62" t="str"/>
    </x:row>
    <x:row r="491" ht="40" customHeight="1">
      <x:c r="A491" s="62" t="str">
        <x:v>ABAP-487</x:v>
      </x:c>
      <x:c r="B491" s="62" t="str">
        <x:v>31 | Architecture, Patterns &amp; Senior-Level Habits</x:v>
      </x:c>
      <x:c r="C491" s="62" t="str">
        <x:v>Architecture, Patterns &amp; Senior-Level Habits</x:v>
      </x:c>
      <x:c r="D491" s="62" t="str">
        <x:v>Bulk processing and chunking strategies</x:v>
      </x:c>
      <x:c r="E491" s="62" t="str">
        <x:v>For “Bulk processing and chunking strategies”: explain its purpose and key rules, demonstrate a small example or trace, handle one common edge case/failure, and name a relevant best practice or trade-off.</x:v>
      </x:c>
      <x:c r="F491" s="62" t="str">
        <x:v>Advanced</x:v>
      </x:c>
      <x:c r="G491" s="62" t="str">
        <x:v>P1</x:v>
      </x:c>
      <x:c r="H491" s="62" t="str">
        <x:v>Not Started</x:v>
      </x:c>
      <x:c r="I491" s="62"/>
      <x:c r="J491" s="66"/>
      <x:c r="K491" s="62" t="str"/>
      <x:c r="L491" s="62" t="str"/>
    </x:row>
    <x:row r="492" ht="40" customHeight="1">
      <x:c r="A492" s="62" t="str">
        <x:v>ABAP-488</x:v>
      </x:c>
      <x:c r="B492" s="62" t="str">
        <x:v>31 | Architecture, Patterns &amp; Senior-Level Habits</x:v>
      </x:c>
      <x:c r="C492" s="62" t="str">
        <x:v>Architecture, Patterns &amp; Senior-Level Habits</x:v>
      </x:c>
      <x:c r="D492" s="62" t="str">
        <x:v>Observability: application logs, metrics and actionable messages</x:v>
      </x:c>
      <x:c r="E492" s="62" t="str">
        <x:v>For “Observability: application logs, metrics and actionable messages”: explain its purpose and key rules, demonstrate a small example or trace, handle one common edge case/failure, and name a relevant best practice or trade-off.</x:v>
      </x:c>
      <x:c r="F492" s="62" t="str">
        <x:v>Advanced</x:v>
      </x:c>
      <x:c r="G492" s="62" t="str">
        <x:v>P1</x:v>
      </x:c>
      <x:c r="H492" s="62" t="str">
        <x:v>Not Started</x:v>
      </x:c>
      <x:c r="I492" s="62"/>
      <x:c r="J492" s="66"/>
      <x:c r="K492" s="62" t="str"/>
      <x:c r="L492" s="62" t="str"/>
    </x:row>
    <x:row r="493" ht="40" customHeight="1">
      <x:c r="A493" s="62" t="str">
        <x:v>ABAP-489</x:v>
      </x:c>
      <x:c r="B493" s="62" t="str">
        <x:v>31 | Architecture, Patterns &amp; Senior-Level Habits</x:v>
      </x:c>
      <x:c r="C493" s="62" t="str">
        <x:v>Architecture, Patterns &amp; Senior-Level Habits</x:v>
      </x:c>
      <x:c r="D493" s="62" t="str">
        <x:v>Resilience: timeout, partial failure and recovery design</x:v>
      </x:c>
      <x:c r="E493" s="62" t="str">
        <x:v>For “Resilience: timeout, partial failure and recovery design”: explain its purpose and key rules, demonstrate a small example or trace, handle one common edge case/failure, and name a relevant best practice or trade-off.</x:v>
      </x:c>
      <x:c r="F493" s="62" t="str">
        <x:v>Advanced</x:v>
      </x:c>
      <x:c r="G493" s="62" t="str">
        <x:v>P1</x:v>
      </x:c>
      <x:c r="H493" s="62" t="str">
        <x:v>Not Started</x:v>
      </x:c>
      <x:c r="I493" s="62"/>
      <x:c r="J493" s="66"/>
      <x:c r="K493" s="62" t="str"/>
      <x:c r="L493" s="62" t="str"/>
    </x:row>
    <x:row r="494" ht="40" customHeight="1">
      <x:c r="A494" s="62" t="str">
        <x:v>ABAP-490</x:v>
      </x:c>
      <x:c r="B494" s="62" t="str">
        <x:v>31 | Architecture, Patterns &amp; Senior-Level Habits</x:v>
      </x:c>
      <x:c r="C494" s="62" t="str">
        <x:v>Architecture, Patterns &amp; Senior-Level Habits</x:v>
      </x:c>
      <x:c r="D494" s="62" t="str">
        <x:v>Data consistency and transaction boundaries</x:v>
      </x:c>
      <x:c r="E494" s="62" t="str">
        <x:v>For “Data consistency and transaction boundaries”: explain its purpose and key rules, demonstrate a small example or trace, handle one common edge case/failure, and name a relevant best practice or trade-off.</x:v>
      </x:c>
      <x:c r="F494" s="62" t="str">
        <x:v>Advanced</x:v>
      </x:c>
      <x:c r="G494" s="62" t="str">
        <x:v>P1</x:v>
      </x:c>
      <x:c r="H494" s="62" t="str">
        <x:v>Not Started</x:v>
      </x:c>
      <x:c r="I494" s="62"/>
      <x:c r="J494" s="66"/>
      <x:c r="K494" s="62" t="str"/>
      <x:c r="L494" s="62" t="str"/>
    </x:row>
    <x:row r="495" ht="40" customHeight="1">
      <x:c r="A495" s="62" t="str">
        <x:v>ABAP-491</x:v>
      </x:c>
      <x:c r="B495" s="62" t="str">
        <x:v>31 | Architecture, Patterns &amp; Senior-Level Habits</x:v>
      </x:c>
      <x:c r="C495" s="62" t="str">
        <x:v>Architecture, Patterns &amp; Senior-Level Habits</x:v>
      </x:c>
      <x:c r="D495" s="62" t="str">
        <x:v>Architecture decision records and technical documentation</x:v>
      </x:c>
      <x:c r="E495" s="62" t="str">
        <x:v>For “Architecture decision records and technical documentation”: explain its purpose and key rules, demonstrate a small example or trace, handle one common edge case/failure, and name a relevant best practice or trade-off.</x:v>
      </x:c>
      <x:c r="F495" s="62" t="str">
        <x:v>Advanced</x:v>
      </x:c>
      <x:c r="G495" s="62" t="str">
        <x:v>P2</x:v>
      </x:c>
      <x:c r="H495" s="62" t="str">
        <x:v>Not Started</x:v>
      </x:c>
      <x:c r="I495" s="62"/>
      <x:c r="J495" s="66"/>
      <x:c r="K495" s="62" t="str"/>
      <x:c r="L495" s="62" t="str"/>
    </x:row>
    <x:row r="496" ht="40" customHeight="1">
      <x:c r="A496" s="62" t="str">
        <x:v>ABAP-492</x:v>
      </x:c>
      <x:c r="B496" s="62" t="str">
        <x:v>31 | Architecture, Patterns &amp; Senior-Level Habits</x:v>
      </x:c>
      <x:c r="C496" s="62" t="str">
        <x:v>Architecture, Patterns &amp; Senior-Level Habits</x:v>
      </x:c>
      <x:c r="D496" s="62" t="str">
        <x:v>Mentoring, code review and explaining trade-offs</x:v>
      </x:c>
      <x:c r="E496" s="62" t="str">
        <x:v>For “Mentoring, code review and explaining trade-offs”: explain its purpose and key rules, demonstrate a small example or trace, handle one common edge case/failure, and name a relevant best practice or trade-off.</x:v>
      </x:c>
      <x:c r="F496" s="62" t="str">
        <x:v>Advanced</x:v>
      </x:c>
      <x:c r="G496" s="62" t="str">
        <x:v>P2</x:v>
      </x:c>
      <x:c r="H496" s="62" t="str">
        <x:v>Not Started</x:v>
      </x:c>
      <x:c r="I496" s="62"/>
      <x:c r="J496" s="66"/>
      <x:c r="K496" s="62" t="str"/>
      <x:c r="L496" s="62" t="str"/>
    </x:row>
  </x:sheetData>
  <x:mergeCells>
    <x:mergeCell ref="A1:L1"/>
    <x:mergeCell ref="A2:L2"/>
    <x:mergeCell ref="A3:L3"/>
  </x:mergeCells>
  <x:conditionalFormatting sqref="H5:H496">
    <x:cfRule type="expression" dxfId="0" priority="1">
      <x:formula>$H5="Confident"</x:formula>
    </x:cfRule>
    <x:cfRule type="expression" dxfId="1" priority="2">
      <x:formula>$H5="Practiced"</x:formula>
    </x:cfRule>
    <x:cfRule type="expression" dxfId="2" priority="3">
      <x:formula>$H5="Learning"</x:formula>
    </x:cfRule>
    <x:cfRule type="expression" dxfId="3" priority="4">
      <x:formula>$H5="Needs Review"</x:formula>
    </x:cfRule>
  </x:conditionalFormatting>
  <x:conditionalFormatting sqref="G5:G496">
    <x:cfRule type="expression" dxfId="4" priority="5">
      <x:formula>$G5="P1"</x:formula>
    </x:cfRule>
  </x:conditionalFormatting>
  <x:dataValidations count="2">
    <x:dataValidation type="list" sqref="H5:H496">
      <x:formula1>"Not Started,Learning,Practiced,Confident,Needs Review"</x:formula1>
    </x:dataValidation>
    <x:dataValidation type="list" sqref="G5:G496">
      <x:formula1>"P1,P2,P3"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394e88c0f6440e5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34" hidden="0" customWidth="1"/>
    <x:col min="3" max="3" width="16" hidden="0" customWidth="1"/>
    <x:col min="4" max="4" width="45" hidden="0" customWidth="1"/>
    <x:col min="5" max="5" width="68" hidden="0" customWidth="1"/>
    <x:col min="6" max="6" width="18" hidden="0" customWidth="1"/>
    <x:col min="7" max="7" width="36" hidden="0" customWidth="1"/>
  </x:cols>
  <x:sheetData>
    <x:row r="1" ht="32" customHeight="1">
      <x:c r="A1" s="5" t="str">
        <x:v>Hands-on Project Ladder — Turn Knowledge into Evidence</x:v>
      </x:c>
      <x:c r="B1" s="5"/>
      <x:c r="C1" s="5"/>
      <x:c r="D1" s="5"/>
      <x:c r="E1" s="5"/>
      <x:c r="F1" s="5"/>
      <x:c r="G1" s="5"/>
    </x:row>
    <x:row r="2" ht="30" customHeight="1">
      <x:c r="A2" s="13" t="str">
        <x:v>Use these progressively harder exercises to prove topics are usable, not just familiar. Adapt data and objects to your authorized sandbox.</x:v>
      </x:c>
      <x:c r="B2" s="13"/>
      <x:c r="C2" s="13"/>
      <x:c r="D2" s="13"/>
      <x:c r="E2" s="13"/>
      <x:c r="F2" s="13"/>
      <x:c r="G2" s="13"/>
    </x:row>
    <x:row r="4" ht="32" customHeight="1">
      <x:c r="A4" s="57" t="str">
        <x:v>Project ID</x:v>
      </x:c>
      <x:c r="B4" s="57" t="str">
        <x:v>Exercise</x:v>
      </x:c>
      <x:c r="C4" s="57" t="str">
        <x:v>Level</x:v>
      </x:c>
      <x:c r="D4" s="57" t="str">
        <x:v>Concepts exercised</x:v>
      </x:c>
      <x:c r="E4" s="57" t="str">
        <x:v>Deliverable / acceptance criteria</x:v>
      </x:c>
      <x:c r="F4" s="57" t="str">
        <x:v>Status</x:v>
      </x:c>
      <x:c r="G4" s="57" t="str">
        <x:v>Notes / evidence</x:v>
      </x:c>
    </x:row>
    <x:row r="5" ht="48" customHeight="1">
      <x:c r="A5" s="44" t="str">
        <x:v>PRJ-01</x:v>
      </x:c>
      <x:c r="B5" s="44" t="str">
        <x:v>ABAP syntax drill report</x:v>
      </x:c>
      <x:c r="C5" s="44" t="str">
        <x:v>Foundation</x:v>
      </x:c>
      <x:c r="D5" s="44" t="str">
        <x:v>Variables, conditions, loops, messages, selection screen</x:v>
      </x:c>
      <x:c r="E5" s="44" t="str">
        <x:v>Executable report with validated inputs and readable output; handle empty/invalid input.</x:v>
      </x:c>
      <x:c r="F5" s="44" t="str">
        <x:v>Not Started</x:v>
      </x:c>
      <x:c r="G5" s="44" t="str"/>
    </x:row>
    <x:row r="6" ht="48" customHeight="1">
      <x:c r="A6" s="44" t="str">
        <x:v>PRJ-02</x:v>
      </x:c>
      <x:c r="B6" s="44" t="str">
        <x:v>DDIC-backed maintenance report</x:v>
      </x:c>
      <x:c r="C6" s="44" t="str">
        <x:v>Core</x:v>
      </x:c>
      <x:c r="D6" s="44" t="str">
        <x:v>Domains, data elements, table keys, search help, Open SQL</x:v>
      </x:c>
      <x:c r="E6" s="44" t="str">
        <x:v>Design a small custom table and report; demonstrate key/value validation and correct data retrieval.</x:v>
      </x:c>
      <x:c r="F6" s="44" t="str">
        <x:v>Not Started</x:v>
      </x:c>
      <x:c r="G6" s="44" t="str"/>
    </x:row>
    <x:row r="7" ht="48" customHeight="1">
      <x:c r="A7" s="44" t="str">
        <x:v>PRJ-03</x:v>
      </x:c>
      <x:c r="B7" s="44" t="str">
        <x:v>Purchase requisition overview ALV</x:v>
      </x:c>
      <x:c r="C7" s="44" t="str">
        <x:v>Core</x:v>
      </x:c>
      <x:c r="D7" s="44" t="str">
        <x:v>Joins, internal tables, selection screen, SALV/ALV, authorization</x:v>
      </x:c>
      <x:c r="E7" s="44" t="str">
        <x:v>Filter by plant/date/status; display useful columns, totals and messages; test no-data scenario.</x:v>
      </x:c>
      <x:c r="F7" s="44" t="str">
        <x:v>Not Started</x:v>
      </x:c>
      <x:c r="G7" s="44" t="str"/>
    </x:row>
    <x:row r="8" ht="48" customHeight="1">
      <x:c r="A8" s="44" t="str">
        <x:v>PRJ-04</x:v>
      </x:c>
      <x:c r="B8" s="44" t="str">
        <x:v>Legacy report modernization</x:v>
      </x:c>
      <x:c r="C8" s="44" t="str">
        <x:v>Intermediate</x:v>
      </x:c>
      <x:c r="D8" s="44" t="str">
        <x:v>Modern syntax, OO refactoring, exceptions, tests</x:v>
      </x:c>
      <x:c r="E8" s="44" t="str">
        <x:v>Refactor old syntax without changing output; add a testable service class and ABAP Unit tests.</x:v>
      </x:c>
      <x:c r="F8" s="44" t="str">
        <x:v>Not Started</x:v>
      </x:c>
      <x:c r="G8" s="44" t="str"/>
    </x:row>
    <x:row r="9" ht="48" customHeight="1">
      <x:c r="A9" s="44" t="str">
        <x:v>PRJ-05</x:v>
      </x:c>
      <x:c r="B9" s="44" t="str">
        <x:v>BAPI-based document update</x:v>
      </x:c>
      <x:c r="C9" s="44" t="str">
        <x:v>Intermediate</x:v>
      </x:c>
      <x:c r="D9" s="44" t="str">
        <x:v>BAPI, RETURN handling, commit/rollback, application log</x:v>
      </x:c>
      <x:c r="E9" s="44" t="str">
        <x:v>Update a supported business object through a BAPI with test mode, return-message analysis and safe commit behavior.</x:v>
      </x:c>
      <x:c r="F9" s="44" t="str">
        <x:v>Not Started</x:v>
      </x:c>
      <x:c r="G9" s="44" t="str"/>
    </x:row>
    <x:row r="10" ht="48" customHeight="1">
      <x:c r="A10" s="44" t="str">
        <x:v>PRJ-06</x:v>
      </x:c>
      <x:c r="B10" s="44" t="str">
        <x:v>CSV upload with reconciliation</x:v>
      </x:c>
      <x:c r="C10" s="44" t="str">
        <x:v>Intermediate</x:v>
      </x:c>
      <x:c r="D10" s="44" t="str">
        <x:v>File handling, conversion, validation, background compatibility</x:v>
      </x:c>
      <x:c r="E10" s="44" t="str">
        <x:v>Upload sample data with preview/test mode, row-level errors, duplicate handling and reconciliation totals.</x:v>
      </x:c>
      <x:c r="F10" s="44" t="str">
        <x:v>Not Started</x:v>
      </x:c>
      <x:c r="G10" s="44" t="str"/>
    </x:row>
    <x:row r="11" ht="48" customHeight="1">
      <x:c r="A11" s="44" t="str">
        <x:v>PRJ-07</x:v>
      </x:c>
      <x:c r="B11" s="44" t="str">
        <x:v>IDoc troubleshooting exercise</x:v>
      </x:c>
      <x:c r="C11" s="44" t="str">
        <x:v>Intermediate</x:v>
      </x:c>
      <x:c r="D11" s="44" t="str">
        <x:v>WE20/WE21, IDoc statuses, BD87, partner mapping</x:v>
      </x:c>
      <x:c r="E11" s="44" t="str">
        <x:v>Trace a test IDoc, diagnose a deliberately introduced error and document recovery steps.</x:v>
      </x:c>
      <x:c r="F11" s="44" t="str">
        <x:v>Not Started</x:v>
      </x:c>
      <x:c r="G11" s="44" t="str"/>
    </x:row>
    <x:row r="12" ht="48" customHeight="1">
      <x:c r="A12" s="44" t="str">
        <x:v>PRJ-08</x:v>
      </x:c>
      <x:c r="B12" s="44" t="str">
        <x:v>Adobe Form output flow</x:v>
      </x:c>
      <x:c r="C12" s="44" t="str">
        <x:v>Intermediate</x:v>
      </x:c>
      <x:c r="D12" s="44" t="str">
        <x:v>SFP, interface/context, generated FM, spool, output trigger</x:v>
      </x:c>
      <x:c r="E12" s="44" t="str">
        <x:v>Trace input data to PDF/spool; verify field binding, no-data behavior and output status.</x:v>
      </x:c>
      <x:c r="F12" s="44" t="str">
        <x:v>Not Started</x:v>
      </x:c>
      <x:c r="G12" s="44" t="str"/>
    </x:row>
    <x:row r="13" ht="48" customHeight="1">
      <x:c r="A13" s="44" t="str">
        <x:v>PRJ-09</x:v>
      </x:c>
      <x:c r="B13" s="44" t="str">
        <x:v>CDS reporting model</x:v>
      </x:c>
      <x:c r="C13" s="44" t="str">
        <x:v>Modern</x:v>
      </x:c>
      <x:c r="D13" s="44" t="str">
        <x:v>View entities, joins/associations, annotations, DCL</x:v>
      </x:c>
      <x:c r="E13" s="44" t="str">
        <x:v>Build a layered CDS model and show filtered data, semantic annotations and authorization behavior.</x:v>
      </x:c>
      <x:c r="F13" s="44" t="str">
        <x:v>Not Started</x:v>
      </x:c>
      <x:c r="G13" s="44" t="str"/>
    </x:row>
    <x:row r="14" ht="48" customHeight="1">
      <x:c r="A14" s="44" t="str">
        <x:v>PRJ-10</x:v>
      </x:c>
      <x:c r="B14" s="44" t="str">
        <x:v>CDS + OData V4 read service</x:v>
      </x:c>
      <x:c r="C14" s="44" t="str">
        <x:v>Modern</x:v>
      </x:c>
      <x:c r="D14" s="44" t="str">
        <x:v>Service definition/binding, metadata, filters, pagination</x:v>
      </x:c>
      <x:c r="E14" s="44" t="str">
        <x:v>Expose a read-only service, inspect $metadata and verify server-side filtering and authorization.</x:v>
      </x:c>
      <x:c r="F14" s="44" t="str">
        <x:v>Not Started</x:v>
      </x:c>
      <x:c r="G14" s="44" t="str"/>
    </x:row>
    <x:row r="15" ht="48" customHeight="1">
      <x:c r="A15" s="44" t="str">
        <x:v>PRJ-11</x:v>
      </x:c>
      <x:c r="B15" s="44" t="str">
        <x:v>RAP managed CRUD business object</x:v>
      </x:c>
      <x:c r="C15" s="44" t="str">
        <x:v>Modern</x:v>
      </x:c>
      <x:c r="D15" s="44" t="str">
        <x:v>Root/projection views, behavior, validations, actions, EML</x:v>
      </x:c>
      <x:c r="E15" s="44" t="str">
        <x:v>Build CRUD with numbering, validation, messages, authorization and an OData V4 service.</x:v>
      </x:c>
      <x:c r="F15" s="44" t="str">
        <x:v>Not Started</x:v>
      </x:c>
      <x:c r="G15" s="44" t="str"/>
    </x:row>
    <x:row r="16" ht="48" customHeight="1">
      <x:c r="A16" s="44" t="str">
        <x:v>PRJ-12</x:v>
      </x:c>
      <x:c r="B16" s="44" t="str">
        <x:v>RAP draft-enabled Fiori Elements app</x:v>
      </x:c>
      <x:c r="C16" s="44" t="str">
        <x:v>Advanced</x:v>
      </x:c>
      <x:c r="D16" s="44" t="str">
        <x:v>Draft, actions, feature control, UI annotations, service binding</x:v>
      </x:c>
      <x:c r="E16" s="44" t="str">
        <x:v>Build create/edit/draft flows and verify save/cancel behavior, field semantics and action enablement.</x:v>
      </x:c>
      <x:c r="F16" s="44" t="str">
        <x:v>Not Started</x:v>
      </x:c>
      <x:c r="G16" s="44" t="str"/>
    </x:row>
    <x:row r="17" ht="48" customHeight="1">
      <x:c r="A17" s="44" t="str">
        <x:v>PRJ-13</x:v>
      </x:c>
      <x:c r="B17" s="44" t="str">
        <x:v>UI5 upload app using OData</x:v>
      </x:c>
      <x:c r="C17" s="44" t="str">
        <x:v>Intermediate</x:v>
      </x:c>
      <x:c r="D17" s="44" t="str">
        <x:v>SAPUI5 MVC, OData create, binary/media payload, CSRF, backend persistence</x:v>
      </x:c>
      <x:c r="E17" s="44" t="str">
        <x:v>Upload file/image metadata; verify backend persistence, duplicate/error handling and correct refresh.</x:v>
      </x:c>
      <x:c r="F17" s="44" t="str">
        <x:v>Not Started</x:v>
      </x:c>
      <x:c r="G17" s="44" t="str"/>
    </x:row>
    <x:row r="18" ht="48" customHeight="1">
      <x:c r="A18" s="44" t="str">
        <x:v>PRJ-14</x:v>
      </x:c>
      <x:c r="B18" s="44" t="str">
        <x:v>Performance investigation case</x:v>
      </x:c>
      <x:c r="C18" s="44" t="str">
        <x:v>Advanced</x:v>
      </x:c>
      <x:c r="D18" s="44" t="str">
        <x:v>ST05, SAT, SQLM, internal-table keys, before/after measurement</x:v>
      </x:c>
      <x:c r="E18" s="44" t="str">
        <x:v>Capture baseline, identify the actual bottleneck, optimize and document measured results.</x:v>
      </x:c>
      <x:c r="F18" s="44" t="str">
        <x:v>Not Started</x:v>
      </x:c>
      <x:c r="G18" s="44" t="str"/>
    </x:row>
    <x:row r="19" ht="48" customHeight="1">
      <x:c r="A19" s="44" t="str">
        <x:v>PRJ-15</x:v>
      </x:c>
      <x:c r="B19" s="44" t="str">
        <x:v>ABAP Unit and test doubles</x:v>
      </x:c>
      <x:c r="C19" s="44" t="str">
        <x:v>Intermediate</x:v>
      </x:c>
      <x:c r="D19" s="44" t="str">
        <x:v>Test classes, dependency injection, test seams, assertions</x:v>
      </x:c>
      <x:c r="E19" s="44" t="str">
        <x:v>Cover success, boundary and exception paths for a reusable business-logic class.</x:v>
      </x:c>
      <x:c r="F19" s="44" t="str">
        <x:v>Not Started</x:v>
      </x:c>
      <x:c r="G19" s="44" t="str"/>
    </x:row>
    <x:row r="20" ht="48" customHeight="1">
      <x:c r="A20" s="44" t="str">
        <x:v>PRJ-16</x:v>
      </x:c>
      <x:c r="B20" s="44" t="str">
        <x:v>Clean-core compatibility review</x:v>
      </x:c>
      <x:c r="C20" s="44" t="str">
        <x:v>Advanced</x:v>
      </x:c>
      <x:c r="D20" s="44" t="str">
        <x:v>ABAP Cloud, released APIs, ATC, extensions</x:v>
      </x:c>
      <x:c r="E20" s="44" t="str">
        <x:v>Review a sample custom object for unreleased dependencies and propose a supported replacement path.</x:v>
      </x:c>
      <x:c r="F20" s="44" t="str">
        <x:v>Not Started</x:v>
      </x:c>
      <x:c r="G20" s="44" t="str"/>
    </x:row>
    <x:row r="21" ht="48" customHeight="1">
      <x:c r="A21" s="44" t="str">
        <x:v>PRJ-17</x:v>
      </x:c>
      <x:c r="B21" s="44" t="str">
        <x:v>CPI / EDI integration trace</x:v>
      </x:c>
      <x:c r="C21" s="44" t="str">
        <x:v>Advanced</x:v>
      </x:c>
      <x:c r="D21" s="44" t="str">
        <x:v>API/IDoc, middleware mapping, retries, correlation, operations</x:v>
      </x:c>
      <x:c r="E21" s="44" t="str">
        <x:v>Draw the message flow and create a troubleshooting checklist for one interface type.</x:v>
      </x:c>
      <x:c r="F21" s="44" t="str">
        <x:v>Not Started</x:v>
      </x:c>
      <x:c r="G21" s="44" t="str"/>
    </x:row>
    <x:row r="22" ht="48" customHeight="1">
      <x:c r="A22" s="44" t="str">
        <x:v>PRJ-18</x:v>
      </x:c>
      <x:c r="B22" s="44" t="str">
        <x:v>End-to-end support ticket simulation</x:v>
      </x:c>
      <x:c r="C22" s="44" t="str">
        <x:v>Advanced</x:v>
      </x:c>
      <x:c r="D22" s="44" t="str">
        <x:v>Root-cause analysis, logs, debugging, tests, transport and handover</x:v>
      </x:c>
      <x:c r="E22" s="44" t="str">
        <x:v>Reproduce issue → find root cause → implement fix → test → transport evidence → concise handover note.</x:v>
      </x:c>
      <x:c r="F22" s="44" t="str">
        <x:v>Not Started</x:v>
      </x:c>
      <x:c r="G22" s="44" t="str"/>
    </x:row>
  </x:sheetData>
  <x:mergeCells>
    <x:mergeCell ref="A1:G1"/>
    <x:mergeCell ref="A2:G2"/>
  </x:mergeCells>
  <x:conditionalFormatting sqref="F5:F22">
    <x:cfRule type="expression" dxfId="5" priority="1">
      <x:formula>$F5="Confident"</x:formula>
    </x:cfRule>
  </x:conditionalFormatting>
  <x:dataValidations count="1">
    <x:dataValidation type="list" sqref="F5:F22">
      <x:formula1>"Not Started,Learning,Practiced,Confident,Needs 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1cb645dbbb54625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24" hidden="0" customWidth="1"/>
    <x:col min="3" max="3" width="43" hidden="0" customWidth="1"/>
    <x:col min="4" max="4" width="60" hidden="0" customWidth="1"/>
    <x:col min="5" max="5" width="80" hidden="0" customWidth="1"/>
    <x:col min="6" max="6" width="48" hidden="0" customWidth="1"/>
  </x:cols>
  <x:sheetData>
    <x:row r="1" ht="32" customHeight="1">
      <x:c r="A1" s="5" t="str">
        <x:v>Official SAP Learning &amp; Reference Links</x:v>
      </x:c>
      <x:c r="B1" s="5"/>
      <x:c r="C1" s="5"/>
      <x:c r="D1" s="5"/>
      <x:c r="E1" s="5"/>
      <x:c r="F1" s="5"/>
    </x:row>
    <x:row r="2" ht="30" customHeight="1">
      <x:c r="A2" s="13" t="str">
        <x:v>Use the learning journey for structure, then use Help Portal and Developer tutorials alongside documentation for your target system version.</x:v>
      </x:c>
      <x:c r="B2" s="13"/>
      <x:c r="C2" s="13"/>
      <x:c r="D2" s="13"/>
      <x:c r="E2" s="13"/>
      <x:c r="F2" s="13"/>
    </x:row>
    <x:row r="4" ht="30" customHeight="1">
      <x:c r="A4" s="57" t="str">
        <x:v>Resource ID</x:v>
      </x:c>
      <x:c r="B4" s="57" t="str">
        <x:v>Source</x:v>
      </x:c>
      <x:c r="C4" s="57" t="str">
        <x:v>Title</x:v>
      </x:c>
      <x:c r="D4" s="57" t="str">
        <x:v>What it covers</x:v>
      </x:c>
      <x:c r="E4" s="57" t="str">
        <x:v>URL</x:v>
      </x:c>
      <x:c r="F4" s="57" t="str">
        <x:v>Best used for</x:v>
      </x:c>
    </x:row>
    <x:row r="5" ht="56" customHeight="1">
      <x:c r="A5" s="44" t="str">
        <x:v>R-01</x:v>
      </x:c>
      <x:c r="B5" s="44" t="str">
        <x:v>SAP Learning Journey</x:v>
      </x:c>
      <x:c r="C5" s="44" t="str">
        <x:v>Acquiring Core ABAP Skills</x:v>
      </x:c>
      <x:c r="D5" s="44" t="str">
        <x:v>Core ABAP concepts and modern ABAP/RAP learning path</x:v>
      </x:c>
      <x:c r="E5" s="44" t="str">
        <x:v>https://learning.sap.com/learning-journeys/acquiring-core-abap-skills</x:v>
      </x:c>
      <x:c r="F5" s="44" t="str">
        <x:v>Core ABAP, language foundations, modern cloud development</x:v>
      </x:c>
    </x:row>
    <x:row r="6" ht="56" customHeight="1">
      <x:c r="A6" s="44" t="str">
        <x:v>R-02</x:v>
      </x:c>
      <x:c r="B6" s="44" t="str">
        <x:v>SAP Developer Tutorial</x:v>
      </x:c>
      <x:c r="C6" s="44" t="str">
        <x:v>Get to Know the ABAP RESTful Application Programming Model</x:v>
      </x:c>
      <x:c r="D6" s="44" t="str">
        <x:v>RAP architecture: data modeling/behavior, service provisioning and consumption</x:v>
      </x:c>
      <x:c r="E6" s="44" t="str">
        <x:v>https://developers.sap.com/tutorials/abap-environment-restful-programming-model/</x:v>
      </x:c>
      <x:c r="F6" s="44" t="str">
        <x:v>RAP overview and conceptual foundation</x:v>
      </x:c>
    </x:row>
    <x:row r="7" ht="56" customHeight="1">
      <x:c r="A7" s="44" t="str">
        <x:v>R-03</x:v>
      </x:c>
      <x:c r="B7" s="44" t="str">
        <x:v>SAP Developer Mission</x:v>
      </x:c>
      <x:c r="C7" s="44" t="str">
        <x:v>Build an SAP Fiori App Using RAP [RAP100]</x:v>
      </x:c>
      <x:c r="D7" s="44" t="str">
        <x:v>Hands-on business object, behavior, service, Fiori Elements and unit-test path</x:v>
      </x:c>
      <x:c r="E7" s="44" t="str">
        <x:v>https://developers.sap.com/tutorials/mission-build-an-sap-fiori-app-using-the-abap-restful-application-programming-model-rap100/</x:v>
      </x:c>
      <x:c r="F7" s="44" t="str">
        <x:v>RAP, service binding, validations, determinations and actions</x:v>
      </x:c>
    </x:row>
    <x:row r="8" ht="56" customHeight="1">
      <x:c r="A8" s="44" t="str">
        <x:v>R-04</x:v>
      </x:c>
      <x:c r="B8" s="44" t="str">
        <x:v>SAP Help Portal</x:v>
      </x:c>
      <x:c r="C8" s="44" t="str">
        <x:v>Developer Guide: From Classic ABAP to ABAP Cloud</x:v>
      </x:c>
      <x:c r="D8" s="44" t="str">
        <x:v>Cloud-ready packages, released objects and clean-core practices</x:v>
      </x:c>
      <x:c r="E8" s="44" t="str">
        <x:v>https://help.sap.com/docs/abap-cloud/developer-guide-from-classic-abap-to-abap-cloud/packages-for-cloud-ready-and-c1-released-development-objects?locale=en-US&amp;state=PRODUCTION&amp;version=sap_cross_product_abap</x:v>
      </x:c>
      <x:c r="F8" s="44" t="str">
        <x:v>ABAP Cloud and released API governance</x:v>
      </x:c>
    </x:row>
    <x:row r="9" ht="56" customHeight="1">
      <x:c r="A9" s="44" t="str">
        <x:v>R-05</x:v>
      </x:c>
      <x:c r="B9" s="44" t="str">
        <x:v>SAP Help Portal</x:v>
      </x:c>
      <x:c r="C9" s="44" t="str">
        <x:v>CDS View Entities</x:v>
      </x:c>
      <x:c r="D9" s="44" t="str">
        <x:v>CDS view entity syntax, relationships, annotations and modeling</x:v>
      </x:c>
      <x:c r="E9" s="44" t="str">
        <x:v>https://help.sap.com/docs/abap-cloud/abap-data-models/cds-view-entities-8b3e8e8b8797432abecd7d1fbb6d5c12?locale=en-US&amp;state=PRODUCTION&amp;version=s4hana_cloud</x:v>
      </x:c>
      <x:c r="F9" s="44" t="str">
        <x:v>CDS data modeling</x:v>
      </x:c>
    </x:row>
    <x:row r="10" ht="56" customHeight="1">
      <x:c r="A10" s="44" t="str">
        <x:v>R-06</x:v>
      </x:c>
      <x:c r="B10" s="44" t="str">
        <x:v>SAP Help Portal</x:v>
      </x:c>
      <x:c r="C10" s="44" t="str">
        <x:v>Recommended Annotations for View Entities</x:v>
      </x:c>
      <x:c r="D10" s="44" t="str">
        <x:v>Purpose and recommendations for common annotations</x:v>
      </x:c>
      <x:c r="E10" s="44" t="str">
        <x:v>https://help.sap.com/docs/abap-cloud/sap-abap-data-models/recommended-annotations-for-view-entities</x:v>
      </x:c>
      <x:c r="F10" s="44" t="str">
        <x:v>CDS annotations and semantics</x:v>
      </x:c>
    </x:row>
    <x:row r="11" ht="56" customHeight="1">
      <x:c r="A11" s="44" t="str">
        <x:v>R-07</x:v>
      </x:c>
      <x:c r="B11" s="44" t="str">
        <x:v>SAP Help Portal</x:v>
      </x:c>
      <x:c r="C11" s="44" t="str">
        <x:v>CDS Access Control</x:v>
      </x:c>
      <x:c r="D11" s="44" t="str">
        <x:v>CDS roles, access rules and access conditions</x:v>
      </x:c>
      <x:c r="E11" s="44" t="str">
        <x:v>https://help.sap.com/docs/abap-cloud/abap-data-models/cds-authorization-concept</x:v>
      </x:c>
      <x:c r="F11" s="44" t="str">
        <x:v>CDS DCL and data access authorization</x:v>
      </x:c>
    </x:row>
    <x:row r="12" ht="56" customHeight="1">
      <x:c r="A12" s="44" t="str">
        <x:v>R-08</x:v>
      </x:c>
      <x:c r="B12" s="44" t="str">
        <x:v>SAP Developer Tutorial</x:v>
      </x:c>
      <x:c r="C12" s="44" t="str">
        <x:v>Write an ABAP Unit Test for the RAP Business Object</x:v>
      </x:c>
      <x:c r="D12" s="44" t="str">
        <x:v>Step-by-step test class, test methods and executing tests</x:v>
      </x:c>
      <x:c r="E12" s="44" t="str">
        <x:v>https://developers.sap.com/tutorials/abap-environment-rap100-unit-testing</x:v>
      </x:c>
      <x:c r="F12" s="44" t="str">
        <x:v>ABAP Unit and RAP tests</x:v>
      </x:c>
    </x:row>
    <x:row r="13" ht="56" customHeight="1">
      <x:c r="A13" s="44" t="str">
        <x:v>R-09</x:v>
      </x:c>
      <x:c r="B13" s="44" t="str">
        <x:v>SAP Developer Concepts</x:v>
      </x:c>
      <x:c r="C13" s="44" t="str">
        <x:v>ABAP Unit Testing</x:v>
      </x:c>
      <x:c r="D13" s="44" t="str">
        <x:v>Related tutorials and SAP documentation on testing</x:v>
      </x:c>
      <x:c r="E13" s="44" t="str">
        <x:v>https://developers.sap.com/concepts/abap-unit-testing/</x:v>
      </x:c>
      <x:c r="F13" s="44" t="str">
        <x:v>ABAP Unit, ATC and quality checks</x:v>
      </x:c>
    </x:row>
    <x:row r="14" ht="56" customHeight="1">
      <x:c r="A14" s="44" t="str">
        <x:v>R-10</x:v>
      </x:c>
      <x:c r="B14" s="44" t="str">
        <x:v>SAP Help Portal</x:v>
      </x:c>
      <x:c r="C14" s="44" t="str">
        <x:v>ABAP Keyword Documentation — CDS View Entities</x:v>
      </x:c>
      <x:c r="D14" s="44" t="str">
        <x:v>Technical language documentation for CDS view entities</x:v>
      </x:c>
      <x:c r="E14" s="44" t="str">
        <x:v>https://help.sap.com/doc/abapdocu_latest_index_htm/latest/en-US/abencds_v2_views.htm</x:v>
      </x:c>
      <x:c r="F14" s="44" t="str">
        <x:v>CDS language reference; verify documentation version for target stack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9d08117f59aa4a24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45" hidden="0" customWidth="1"/>
    <x:col min="3" max="3" width="22" hidden="0" customWidth="1"/>
    <x:col min="4" max="4" width="22" hidden="0" customWidth="1"/>
    <x:col min="5" max="5" width="65" hidden="0" customWidth="1"/>
    <x:col min="6" max="6" width="20" hidden="0" customWidth="1"/>
  </x:cols>
  <x:sheetData>
    <x:row r="1" ht="32" customHeight="1">
      <x:c r="A1" s="5" t="str">
        <x:v>Knowledge Review Log — Track Recall, Mistakes &amp; Retention</x:v>
      </x:c>
      <x:c r="B1" s="5"/>
      <x:c r="C1" s="5"/>
      <x:c r="D1" s="5"/>
      <x:c r="E1" s="5"/>
      <x:c r="F1" s="5"/>
    </x:row>
    <x:row r="2" ht="30" customHeight="1">
      <x:c r="A2" s="13" t="str">
        <x:v>Record what you reviewed, what you could recall without notes, what you missed, and when to revisit it.</x:v>
      </x:c>
      <x:c r="B2" s="13"/>
      <x:c r="C2" s="13"/>
      <x:c r="D2" s="13"/>
      <x:c r="E2" s="13"/>
      <x:c r="F2" s="13"/>
    </x:row>
    <x:row r="4" ht="32" customHeight="1">
      <x:c r="A4" s="57" t="str">
        <x:v>Review Date</x:v>
      </x:c>
      <x:c r="B4" s="57" t="str">
        <x:v>Topic IDs / Topics</x:v>
      </x:c>
      <x:c r="C4" s="57" t="str">
        <x:v>Confidence Before (1–5)</x:v>
      </x:c>
      <x:c r="D4" s="57" t="str">
        <x:v>Confidence After (1–5)</x:v>
      </x:c>
      <x:c r="E4" s="57" t="str">
        <x:v>Mistake / key learning</x:v>
      </x:c>
      <x:c r="F4" s="57" t="str">
        <x:v>Next Review Date</x:v>
      </x:c>
    </x:row>
    <x:row r="5" ht="32" customHeight="1">
      <x:c r="A5" s="68"/>
      <x:c r="B5" s="44"/>
      <x:c r="C5" s="44"/>
      <x:c r="D5" s="44"/>
      <x:c r="E5" s="44"/>
      <x:c r="F5" s="68"/>
    </x:row>
    <x:row r="6" ht="32" customHeight="1">
      <x:c r="A6" s="68"/>
      <x:c r="B6" s="44"/>
      <x:c r="C6" s="44"/>
      <x:c r="D6" s="44"/>
      <x:c r="E6" s="44"/>
      <x:c r="F6" s="68"/>
    </x:row>
    <x:row r="7" ht="32" customHeight="1">
      <x:c r="A7" s="68"/>
      <x:c r="B7" s="44"/>
      <x:c r="C7" s="44"/>
      <x:c r="D7" s="44"/>
      <x:c r="E7" s="44"/>
      <x:c r="F7" s="68"/>
    </x:row>
    <x:row r="8" ht="32" customHeight="1">
      <x:c r="A8" s="68"/>
      <x:c r="B8" s="44"/>
      <x:c r="C8" s="44"/>
      <x:c r="D8" s="44"/>
      <x:c r="E8" s="44"/>
      <x:c r="F8" s="68"/>
    </x:row>
    <x:row r="9" ht="32" customHeight="1">
      <x:c r="A9" s="68"/>
      <x:c r="B9" s="44"/>
      <x:c r="C9" s="44"/>
      <x:c r="D9" s="44"/>
      <x:c r="E9" s="44"/>
      <x:c r="F9" s="68"/>
    </x:row>
    <x:row r="10" ht="32" customHeight="1">
      <x:c r="A10" s="68"/>
      <x:c r="B10" s="44"/>
      <x:c r="C10" s="44"/>
      <x:c r="D10" s="44"/>
      <x:c r="E10" s="44"/>
      <x:c r="F10" s="68"/>
    </x:row>
    <x:row r="11" ht="32" customHeight="1">
      <x:c r="A11" s="68"/>
      <x:c r="B11" s="44"/>
      <x:c r="C11" s="44"/>
      <x:c r="D11" s="44"/>
      <x:c r="E11" s="44"/>
      <x:c r="F11" s="68"/>
    </x:row>
    <x:row r="12" ht="32" customHeight="1">
      <x:c r="A12" s="68"/>
      <x:c r="B12" s="44"/>
      <x:c r="C12" s="44"/>
      <x:c r="D12" s="44"/>
      <x:c r="E12" s="44"/>
      <x:c r="F12" s="68"/>
    </x:row>
    <x:row r="13" ht="32" customHeight="1">
      <x:c r="A13" s="68"/>
      <x:c r="B13" s="44"/>
      <x:c r="C13" s="44"/>
      <x:c r="D13" s="44"/>
      <x:c r="E13" s="44"/>
      <x:c r="F13" s="68"/>
    </x:row>
    <x:row r="14" ht="32" customHeight="1">
      <x:c r="A14" s="68"/>
      <x:c r="B14" s="44"/>
      <x:c r="C14" s="44"/>
      <x:c r="D14" s="44"/>
      <x:c r="E14" s="44"/>
      <x:c r="F14" s="68"/>
    </x:row>
    <x:row r="15" ht="32" customHeight="1">
      <x:c r="A15" s="68"/>
      <x:c r="B15" s="44"/>
      <x:c r="C15" s="44"/>
      <x:c r="D15" s="44"/>
      <x:c r="E15" s="44"/>
      <x:c r="F15" s="68"/>
    </x:row>
    <x:row r="16" ht="32" customHeight="1">
      <x:c r="A16" s="68"/>
      <x:c r="B16" s="44"/>
      <x:c r="C16" s="44"/>
      <x:c r="D16" s="44"/>
      <x:c r="E16" s="44"/>
      <x:c r="F16" s="68"/>
    </x:row>
    <x:row r="17" ht="32" customHeight="1">
      <x:c r="A17" s="68"/>
      <x:c r="B17" s="44"/>
      <x:c r="C17" s="44"/>
      <x:c r="D17" s="44"/>
      <x:c r="E17" s="44"/>
      <x:c r="F17" s="68"/>
    </x:row>
    <x:row r="18" ht="32" customHeight="1">
      <x:c r="A18" s="68"/>
      <x:c r="B18" s="44"/>
      <x:c r="C18" s="44"/>
      <x:c r="D18" s="44"/>
      <x:c r="E18" s="44"/>
      <x:c r="F18" s="68"/>
    </x:row>
    <x:row r="19" ht="32" customHeight="1">
      <x:c r="A19" s="68"/>
      <x:c r="B19" s="44"/>
      <x:c r="C19" s="44"/>
      <x:c r="D19" s="44"/>
      <x:c r="E19" s="44"/>
      <x:c r="F19" s="68"/>
    </x:row>
    <x:row r="20" ht="32" customHeight="1">
      <x:c r="A20" s="68"/>
      <x:c r="B20" s="44"/>
      <x:c r="C20" s="44"/>
      <x:c r="D20" s="44"/>
      <x:c r="E20" s="44"/>
      <x:c r="F20" s="68"/>
    </x:row>
    <x:row r="21" ht="32" customHeight="1">
      <x:c r="A21" s="68"/>
      <x:c r="B21" s="44"/>
      <x:c r="C21" s="44"/>
      <x:c r="D21" s="44"/>
      <x:c r="E21" s="44"/>
      <x:c r="F21" s="68"/>
    </x:row>
    <x:row r="22" ht="32" customHeight="1">
      <x:c r="A22" s="68"/>
      <x:c r="B22" s="44"/>
      <x:c r="C22" s="44"/>
      <x:c r="D22" s="44"/>
      <x:c r="E22" s="44"/>
      <x:c r="F22" s="68"/>
    </x:row>
    <x:row r="23" ht="32" customHeight="1">
      <x:c r="A23" s="68"/>
      <x:c r="B23" s="44"/>
      <x:c r="C23" s="44"/>
      <x:c r="D23" s="44"/>
      <x:c r="E23" s="44"/>
      <x:c r="F23" s="68"/>
    </x:row>
    <x:row r="24" ht="32" customHeight="1">
      <x:c r="A24" s="68"/>
      <x:c r="B24" s="44"/>
      <x:c r="C24" s="44"/>
      <x:c r="D24" s="44"/>
      <x:c r="E24" s="44"/>
      <x:c r="F24" s="68"/>
    </x:row>
    <x:row r="25" ht="32" customHeight="1">
      <x:c r="A25" s="68"/>
      <x:c r="B25" s="44"/>
      <x:c r="C25" s="44"/>
      <x:c r="D25" s="44"/>
      <x:c r="E25" s="44"/>
      <x:c r="F25" s="68"/>
    </x:row>
    <x:row r="26" ht="32" customHeight="1">
      <x:c r="A26" s="68"/>
      <x:c r="B26" s="44"/>
      <x:c r="C26" s="44"/>
      <x:c r="D26" s="44"/>
      <x:c r="E26" s="44"/>
      <x:c r="F26" s="68"/>
    </x:row>
    <x:row r="27" ht="32" customHeight="1">
      <x:c r="A27" s="68"/>
      <x:c r="B27" s="44"/>
      <x:c r="C27" s="44"/>
      <x:c r="D27" s="44"/>
      <x:c r="E27" s="44"/>
      <x:c r="F27" s="68"/>
    </x:row>
    <x:row r="28" ht="32" customHeight="1">
      <x:c r="A28" s="68"/>
      <x:c r="B28" s="44"/>
      <x:c r="C28" s="44"/>
      <x:c r="D28" s="44"/>
      <x:c r="E28" s="44"/>
      <x:c r="F28" s="68"/>
    </x:row>
    <x:row r="29" ht="32" customHeight="1">
      <x:c r="A29" s="68"/>
      <x:c r="B29" s="44"/>
      <x:c r="C29" s="44"/>
      <x:c r="D29" s="44"/>
      <x:c r="E29" s="44"/>
      <x:c r="F29" s="68"/>
    </x:row>
    <x:row r="30" ht="32" customHeight="1">
      <x:c r="A30" s="68"/>
      <x:c r="B30" s="44"/>
      <x:c r="C30" s="44"/>
      <x:c r="D30" s="44"/>
      <x:c r="E30" s="44"/>
      <x:c r="F30" s="68"/>
    </x:row>
    <x:row r="31" ht="32" customHeight="1">
      <x:c r="A31" s="68"/>
      <x:c r="B31" s="44"/>
      <x:c r="C31" s="44"/>
      <x:c r="D31" s="44"/>
      <x:c r="E31" s="44"/>
      <x:c r="F31" s="68"/>
    </x:row>
    <x:row r="32" ht="32" customHeight="1">
      <x:c r="A32" s="68"/>
      <x:c r="B32" s="44"/>
      <x:c r="C32" s="44"/>
      <x:c r="D32" s="44"/>
      <x:c r="E32" s="44"/>
      <x:c r="F32" s="68"/>
    </x:row>
    <x:row r="33" ht="32" customHeight="1">
      <x:c r="A33" s="68"/>
      <x:c r="B33" s="44"/>
      <x:c r="C33" s="44"/>
      <x:c r="D33" s="44"/>
      <x:c r="E33" s="44"/>
      <x:c r="F33" s="68"/>
    </x:row>
    <x:row r="34" ht="32" customHeight="1">
      <x:c r="A34" s="68"/>
      <x:c r="B34" s="44"/>
      <x:c r="C34" s="44"/>
      <x:c r="D34" s="44"/>
      <x:c r="E34" s="44"/>
      <x:c r="F34" s="68"/>
    </x:row>
    <x:row r="35" ht="32" customHeight="1">
      <x:c r="A35" s="68"/>
      <x:c r="B35" s="44"/>
      <x:c r="C35" s="44"/>
      <x:c r="D35" s="44"/>
      <x:c r="E35" s="44"/>
      <x:c r="F35" s="68"/>
    </x:row>
    <x:row r="36" ht="32" customHeight="1">
      <x:c r="A36" s="68"/>
      <x:c r="B36" s="44"/>
      <x:c r="C36" s="44"/>
      <x:c r="D36" s="44"/>
      <x:c r="E36" s="44"/>
      <x:c r="F36" s="68"/>
    </x:row>
    <x:row r="37" ht="32" customHeight="1">
      <x:c r="A37" s="68"/>
      <x:c r="B37" s="44"/>
      <x:c r="C37" s="44"/>
      <x:c r="D37" s="44"/>
      <x:c r="E37" s="44"/>
      <x:c r="F37" s="68"/>
    </x:row>
    <x:row r="38" ht="32" customHeight="1">
      <x:c r="A38" s="68"/>
      <x:c r="B38" s="44"/>
      <x:c r="C38" s="44"/>
      <x:c r="D38" s="44"/>
      <x:c r="E38" s="44"/>
      <x:c r="F38" s="68"/>
    </x:row>
    <x:row r="39" ht="32" customHeight="1">
      <x:c r="A39" s="68"/>
      <x:c r="B39" s="44"/>
      <x:c r="C39" s="44"/>
      <x:c r="D39" s="44"/>
      <x:c r="E39" s="44"/>
      <x:c r="F39" s="68"/>
    </x:row>
    <x:row r="40" ht="32" customHeight="1">
      <x:c r="A40" s="68"/>
      <x:c r="B40" s="44"/>
      <x:c r="C40" s="44"/>
      <x:c r="D40" s="44"/>
      <x:c r="E40" s="44"/>
      <x:c r="F40" s="68"/>
    </x:row>
    <x:row r="41" ht="32" customHeight="1">
      <x:c r="A41" s="68"/>
      <x:c r="B41" s="44"/>
      <x:c r="C41" s="44"/>
      <x:c r="D41" s="44"/>
      <x:c r="E41" s="44"/>
      <x:c r="F41" s="68"/>
    </x:row>
    <x:row r="42" ht="32" customHeight="1">
      <x:c r="A42" s="68"/>
      <x:c r="B42" s="44"/>
      <x:c r="C42" s="44"/>
      <x:c r="D42" s="44"/>
      <x:c r="E42" s="44"/>
      <x:c r="F42" s="68"/>
    </x:row>
    <x:row r="43" ht="32" customHeight="1">
      <x:c r="A43" s="68"/>
      <x:c r="B43" s="44"/>
      <x:c r="C43" s="44"/>
      <x:c r="D43" s="44"/>
      <x:c r="E43" s="44"/>
      <x:c r="F43" s="68"/>
    </x:row>
    <x:row r="44" ht="32" customHeight="1">
      <x:c r="A44" s="68"/>
      <x:c r="B44" s="44"/>
      <x:c r="C44" s="44"/>
      <x:c r="D44" s="44"/>
      <x:c r="E44" s="44"/>
      <x:c r="F44" s="68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594528a3ca9f4138"/>
  </x:tableParts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00" hidden="0" customWidth="1"/>
  </x:cols>
  <x:sheetData>
    <x:row r="1" ht="32" customHeight="1">
      <x:c r="A1" s="5" t="str">
        <x:v>SAP ABAP Developer Roadmap — How to Use This Tracker</x:v>
      </x:c>
      <x:c r="B1" s="5"/>
      <x:c r="C1" s="5"/>
      <x:c r="D1" s="5"/>
      <x:c r="E1" s="5"/>
      <x:c r="F1" s="5"/>
      <x:c r="G1" s="5"/>
    </x:row>
    <x:row r="2" ht="30" customHeight="1">
      <x:c r="A2" s="13" t="str">
        <x:v>A structured review map from ABAP foundations through modern S/4HANA, CDS, OData, RAP, ABAP Cloud and delivery practices.</x:v>
      </x:c>
      <x:c r="B2" s="13"/>
      <x:c r="C2" s="13"/>
      <x:c r="D2" s="13"/>
      <x:c r="E2" s="13"/>
      <x:c r="F2" s="13"/>
      <x:c r="G2" s="13"/>
    </x:row>
    <x:row r="4" ht="24" customHeight="1">
      <x:c r="A4" s="20" t="str">
        <x:v>How to use it</x:v>
      </x:c>
      <x:c r="B4" s="20" t="str">
        <x:v>What to do</x:v>
      </x:c>
    </x:row>
    <x:row r="5" ht="44" customHeight="1">
      <x:c r="A5" s="27" t="str">
        <x:v>1. Follow the phase order</x:v>
      </x:c>
      <x:c r="B5" s="34" t="str">
        <x:v>Use the Roadmap sheet for sequencing and exit criteria. You can adjust the pace and skip topics you already know well.</x:v>
      </x:c>
    </x:row>
    <x:row r="6" ht="44" customHeight="1">
      <x:c r="A6" s="27" t="str">
        <x:v>2. Track topic-by-topic</x:v>
      </x:c>
      <x:c r="B6" s="34" t="str">
        <x:v>In Topic Tracker, update Status, Confidence, Last Reviewed and Evidence/Notes. Record a program, class, test, trace or issue you solved.</x:v>
      </x:c>
    </x:row>
    <x:row r="7" ht="44" customHeight="1">
      <x:c r="A7" s="27" t="str">
        <x:v>3. Use status consistently</x:v>
      </x:c>
      <x:c r="B7" s="34" t="str">
        <x:v>Not Started = not reviewed; Learning = partial understanding / need notes; Practiced = implemented or debugged hands-on; Confident = can explain, implement and debug independently; Needs Review = previously learned but rusty.</x:v>
      </x:c>
    </x:row>
    <x:row r="8" ht="44" customHeight="1">
      <x:c r="A8" s="27" t="str">
        <x:v>4. Prove mastery</x:v>
      </x:c>
      <x:c r="B8" s="34" t="str">
        <x:v>Mark Confident only when you can explain the purpose, write a working example, debug a typical failure and explain edge cases/trade-offs without copying a walkthrough.</x:v>
      </x:c>
    </x:row>
    <x:row r="9" ht="44" customHeight="1">
      <x:c r="A9" s="27" t="str">
        <x:v>5. Prioritize</x:v>
      </x:c>
      <x:c r="B9" s="34" t="str">
        <x:v>P1 = core skill / frequent project use; P2 = important next layer; P3 = specialized or system-dependent. Confirm priorities against your current project.</x:v>
      </x:c>
    </x:row>
    <x:row r="10" ht="44" customHeight="1">
      <x:c r="A10" s="27" t="str">
        <x:v>6. Review with recall</x:v>
      </x:c>
      <x:c r="B10" s="34" t="str">
        <x:v>Close your notes and explain the topic; then write a small example; then solve one variation or bug. Record misses in Review Log.</x:v>
      </x:c>
    </x:row>
    <x:row r="11" ht="44" customHeight="1">
      <x:c r="A11" s="27" t="str">
        <x:v>7. Use projects to connect topics</x:v>
      </x:c>
      <x:c r="B11" s="34" t="str">
        <x:v>Complete a mini-project after a group of related topics. Do not mark a topic Practiced just because you watched a tutorial.</x:v>
      </x:c>
    </x:row>
    <x:row r="12" ht="44" customHeight="1">
      <x:c r="A12" s="27" t="str">
        <x:v>8. Confirm target release</x:v>
      </x:c>
      <x:c r="B12" s="34" t="str">
        <x:v>Some features depend on SAP_BASIS / S/4HANA release, installed components and ABAP language version. Always check documentation for your target system.</x:v>
      </x:c>
    </x:row>
    <x:row r="13" ht="44" customHeight="1">
      <x:c r="A13" s="27" t="str">
        <x:v>Suggested cadence</x:v>
      </x:c>
      <x:c r="B13" s="34" t="str">
        <x:v>Learn a concept → code a small example → solve a variation → revisit after a few days and again after 2–4 weeks.</x:v>
      </x:c>
    </x:row>
    <x:row r="14" ht="44" customHeight="1">
      <x:c r="A14" s="27" t="str">
        <x:v>Confidence scale</x:v>
      </x:c>
      <x:c r="B14" s="34" t="str">
        <x:v>1 = unfamiliar; 2 = recognize but rely on notes; 3 = explain with prompts; 4 = implement/debug independently; 5 = teach it and explain trade-offs.</x:v>
      </x:c>
    </x:row>
    <x:row r="15" ht="44" customHeight="1">
      <x:c r="A15" s="27" t="str">
        <x:v>Scope note</x:v>
      </x:c>
      <x:c r="B15" s="34" t="str">
        <x:v>This is a broad skill map, not every niche SAP module or customer-specific framework. Add release- and project-specific items as new rows in Topic Tracker.</x:v>
      </x:c>
    </x:row>
  </x:sheetData>
  <x:mergeCells>
    <x:mergeCell ref="A1:G1"/>
    <x:mergeCell ref="A2:G2"/>
  </x:mergeCells>
  <x:pageMargins left="0.7" right="0.7" top="0.75" bottom="0.75" header="0.3" footer="0.3"/>
</x:worksheet>
</file>